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50774693\Box\Backup\WW Load\"/>
    </mc:Choice>
  </mc:AlternateContent>
  <xr:revisionPtr revIDLastSave="0" documentId="13_ncr:1_{019E4AF4-C573-4554-BDAD-28A5B1EBA4C1}" xr6:coauthVersionLast="47" xr6:coauthVersionMax="47" xr10:uidLastSave="{00000000-0000-0000-0000-000000000000}"/>
  <bookViews>
    <workbookView xWindow="-108" yWindow="-108" windowWidth="23256" windowHeight="13896" firstSheet="4" activeTab="6" xr2:uid="{00000000-000D-0000-FFFF-FFFF00000000}"/>
  </bookViews>
  <sheets>
    <sheet name="Q1" sheetId="2" state="hidden" r:id="rId1"/>
    <sheet name="Q3" sheetId="36" state="hidden" r:id="rId2"/>
    <sheet name="Q2" sheetId="35" state="hidden" r:id="rId3"/>
    <sheet name="Q4" sheetId="37" state="hidden" r:id="rId4"/>
    <sheet name="1Q26 " sheetId="39" r:id="rId5"/>
    <sheet name="2Q26" sheetId="40" r:id="rId6"/>
    <sheet name="3Q26" sheetId="42" r:id="rId7"/>
    <sheet name="Events" sheetId="20" state="hidden" r:id="rId8"/>
    <sheet name="Help" sheetId="32" state="hidden" r:id="rId9"/>
    <sheet name="©" sheetId="38" state="hidden" r:id="rId10"/>
  </sheets>
  <externalReferences>
    <externalReference r:id="rId11"/>
  </externalReferences>
  <definedNames>
    <definedName name="ID" localSheetId="9" hidden="1">"70622b7a-e507-4b98-a329-aa099170dd78"</definedName>
    <definedName name="ID" localSheetId="4" hidden="1">"8ca70452-6b28-4e24-8d37-f323a26c6dee"</definedName>
    <definedName name="ID" localSheetId="5" hidden="1">"8d8148d6-3078-4641-9999-6aaa77675116"</definedName>
    <definedName name="ID" localSheetId="6" hidden="1">"5551401e-0ff5-43e4-afce-ca7585babb19"</definedName>
    <definedName name="ID" localSheetId="7" hidden="1">"bd373a8f-3cdd-4150-a090-1288b60ea7d6"</definedName>
    <definedName name="ID" localSheetId="8" hidden="1">"3f063160-0460-4e96-9b49-254ba5a5540c"</definedName>
    <definedName name="ID" localSheetId="0" hidden="1">"48b02b4e-9d42-4194-a028-721cbc27596f"</definedName>
    <definedName name="ID" localSheetId="2" hidden="1">"531ec76c-d981-4255-9aa9-e29139febc2b"</definedName>
    <definedName name="ID" localSheetId="1" hidden="1">"89b60279-2abe-4f65-9564-3ea0f380b38f"</definedName>
    <definedName name="ID" localSheetId="3" hidden="1">"69fbabc9-4cfe-4858-9fd3-cfb5a62c4081"</definedName>
    <definedName name="_xlnm.Print_Area" localSheetId="4">'1Q26 '!$C$5:$P$86</definedName>
    <definedName name="_xlnm.Print_Area" localSheetId="5">'2Q26'!$C$5:$P$86</definedName>
    <definedName name="_xlnm.Print_Area" localSheetId="6">'3Q26'!$C$5:$P$102</definedName>
    <definedName name="_xlnm.Print_Area" localSheetId="7">Events!$A:$J</definedName>
    <definedName name="_xlnm.Print_Area" localSheetId="0">'Q1'!$C$5:$P$86</definedName>
    <definedName name="_xlnm.Print_Area" localSheetId="2">'Q2'!$C$5:$P$101</definedName>
    <definedName name="_xlnm.Print_Area" localSheetId="1">'Q3'!$C$5:$P$102</definedName>
    <definedName name="_xlnm.Print_Area" localSheetId="3">'Q4'!$C$5:$P$102</definedName>
    <definedName name="startday" localSheetId="4">'1Q26 '!$L$2</definedName>
    <definedName name="startday" localSheetId="5">'2Q26'!$L$2</definedName>
    <definedName name="startday">'Q1'!$L$2</definedName>
    <definedName name="valuevx">42.314159</definedName>
    <definedName name="vertex42_copyright" hidden="1">"© 2015 Vertex42 LLC"</definedName>
    <definedName name="vertex42_id" hidden="1">"quarterly-calendar.xlsx"</definedName>
    <definedName name="vertex42_title" hidden="1">"Quarterly Calendar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83" i="42" l="1"/>
  <c r="L95" i="42"/>
  <c r="L18" i="42"/>
  <c r="H47" i="42"/>
  <c r="H83" i="42"/>
  <c r="D7" i="42" l="1"/>
  <c r="D7" i="40"/>
  <c r="J95" i="42"/>
  <c r="H55" i="42"/>
  <c r="N50" i="42"/>
  <c r="H41" i="40"/>
  <c r="F37" i="40"/>
  <c r="H37" i="40"/>
  <c r="J14" i="40"/>
  <c r="H14" i="40" l="1"/>
  <c r="H84" i="40" l="1"/>
  <c r="C83" i="40"/>
  <c r="E83" i="40" s="1"/>
  <c r="F68" i="40"/>
  <c r="N64" i="40"/>
  <c r="H64" i="40"/>
  <c r="F68" i="39"/>
  <c r="N64" i="39"/>
  <c r="H64" i="39"/>
  <c r="J41" i="39"/>
  <c r="H41" i="39"/>
  <c r="H37" i="39"/>
  <c r="N10" i="39"/>
  <c r="D7" i="39"/>
  <c r="D34" i="39" s="1"/>
  <c r="C36" i="39" s="1"/>
  <c r="H84" i="39"/>
  <c r="N14" i="39"/>
  <c r="H83" i="37"/>
  <c r="F83" i="37"/>
  <c r="N95" i="37"/>
  <c r="H55" i="37"/>
  <c r="F55" i="37"/>
  <c r="L18" i="37"/>
  <c r="H55" i="36"/>
  <c r="N83" i="36"/>
  <c r="L83" i="36"/>
  <c r="N50" i="36"/>
  <c r="N18" i="36"/>
  <c r="J95" i="36"/>
  <c r="A8" i="40" l="1"/>
  <c r="D34" i="40"/>
  <c r="C9" i="40"/>
  <c r="D61" i="40"/>
  <c r="E36" i="39"/>
  <c r="A35" i="39"/>
  <c r="D61" i="39"/>
  <c r="A8" i="39"/>
  <c r="C9" i="39"/>
  <c r="H11" i="35"/>
  <c r="H94" i="35"/>
  <c r="A62" i="40" l="1"/>
  <c r="E9" i="40"/>
  <c r="A35" i="40"/>
  <c r="G36" i="39"/>
  <c r="C63" i="39"/>
  <c r="E63" i="39" s="1"/>
  <c r="A62" i="39"/>
  <c r="E9" i="39"/>
  <c r="H10" i="36"/>
  <c r="F79" i="35"/>
  <c r="L79" i="35"/>
  <c r="J52" i="35"/>
  <c r="N47" i="35"/>
  <c r="J15" i="35"/>
  <c r="E36" i="40" l="1"/>
  <c r="G36" i="40" s="1"/>
  <c r="I36" i="40" s="1"/>
  <c r="G63" i="40"/>
  <c r="I63" i="40" s="1"/>
  <c r="G9" i="40"/>
  <c r="G9" i="39"/>
  <c r="I36" i="39"/>
  <c r="H68" i="2"/>
  <c r="H41" i="2"/>
  <c r="J72" i="2"/>
  <c r="J45" i="2"/>
  <c r="A8" i="2"/>
  <c r="H84" i="2"/>
  <c r="N68" i="2"/>
  <c r="N41" i="2"/>
  <c r="K63" i="40" l="1"/>
  <c r="K36" i="40"/>
  <c r="K36" i="39"/>
  <c r="I9" i="39"/>
  <c r="G63" i="39"/>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K9" i="40" l="1"/>
  <c r="M9" i="40" s="1"/>
  <c r="O9" i="40" s="1"/>
  <c r="M63" i="40"/>
  <c r="O63" i="40" s="1"/>
  <c r="K9" i="39"/>
  <c r="M9" i="39" s="1"/>
  <c r="M36" i="39"/>
  <c r="I63" i="39"/>
  <c r="D7" i="2"/>
  <c r="C13" i="40" l="1"/>
  <c r="C67" i="40"/>
  <c r="O36" i="40"/>
  <c r="O36" i="39"/>
  <c r="O9" i="39"/>
  <c r="K63" i="39"/>
  <c r="D72" i="37"/>
  <c r="A73" i="37" s="1"/>
  <c r="D39" i="37"/>
  <c r="A40" i="37" s="1"/>
  <c r="D7" i="37"/>
  <c r="A8" i="37" s="1"/>
  <c r="D61" i="2"/>
  <c r="A62" i="2" s="1"/>
  <c r="D72" i="36"/>
  <c r="A73" i="36" s="1"/>
  <c r="D34" i="2"/>
  <c r="A35" i="2" s="1"/>
  <c r="D39" i="36"/>
  <c r="A40" i="36" s="1"/>
  <c r="D7" i="36"/>
  <c r="A8" i="36" s="1"/>
  <c r="D71" i="35"/>
  <c r="A72" i="35" s="1"/>
  <c r="D39" i="35"/>
  <c r="A40" i="35" s="1"/>
  <c r="D7" i="35"/>
  <c r="A8" i="35" s="1"/>
  <c r="J94" i="20"/>
  <c r="I94" i="20"/>
  <c r="H94" i="20"/>
  <c r="I80" i="20"/>
  <c r="J80" i="20"/>
  <c r="H80" i="20"/>
  <c r="B10" i="20"/>
  <c r="G91" i="20"/>
  <c r="G90" i="20"/>
  <c r="G89" i="20"/>
  <c r="G88" i="20"/>
  <c r="G87" i="20"/>
  <c r="G86" i="20"/>
  <c r="G85" i="20"/>
  <c r="G84" i="20"/>
  <c r="G83" i="20"/>
  <c r="G82" i="20"/>
  <c r="G81" i="20"/>
  <c r="E67" i="40" l="1"/>
  <c r="G67" i="40" s="1"/>
  <c r="I67" i="40" s="1"/>
  <c r="C40" i="40"/>
  <c r="E13" i="40"/>
  <c r="C13" i="39"/>
  <c r="M63" i="39"/>
  <c r="C40" i="39"/>
  <c r="B141" i="20"/>
  <c r="G141" i="20" s="1"/>
  <c r="B114" i="20"/>
  <c r="G114" i="20" s="1"/>
  <c r="B113" i="20"/>
  <c r="G113" i="20" s="1"/>
  <c r="C9" i="36"/>
  <c r="I5" i="36"/>
  <c r="I36" i="36"/>
  <c r="C41" i="36"/>
  <c r="C9" i="37"/>
  <c r="C9" i="35"/>
  <c r="C41" i="37"/>
  <c r="C74" i="36"/>
  <c r="I69" i="36"/>
  <c r="C74" i="37"/>
  <c r="C36" i="2"/>
  <c r="E36" i="2" s="1"/>
  <c r="C63" i="2"/>
  <c r="B22" i="20"/>
  <c r="B23" i="20" s="1"/>
  <c r="G23" i="20" s="1"/>
  <c r="B30" i="20"/>
  <c r="B31" i="20" s="1"/>
  <c r="G31" i="20" s="1"/>
  <c r="B14" i="20"/>
  <c r="B15" i="20" s="1"/>
  <c r="G15" i="20" s="1"/>
  <c r="B38" i="20"/>
  <c r="B39" i="20" s="1"/>
  <c r="G39" i="20" s="1"/>
  <c r="B18" i="20"/>
  <c r="B19" i="20" s="1"/>
  <c r="G19" i="20" s="1"/>
  <c r="B26" i="20"/>
  <c r="B27" i="20" s="1"/>
  <c r="G27" i="20" s="1"/>
  <c r="B34" i="20"/>
  <c r="B42" i="20"/>
  <c r="B43" i="20" s="1"/>
  <c r="G43" i="20" s="1"/>
  <c r="B60" i="20"/>
  <c r="B72" i="20"/>
  <c r="B73" i="20" s="1"/>
  <c r="G73" i="20" s="1"/>
  <c r="B102" i="20"/>
  <c r="G102" i="20" s="1"/>
  <c r="B110" i="20"/>
  <c r="G110" i="20" s="1"/>
  <c r="B120" i="20"/>
  <c r="G120" i="20" s="1"/>
  <c r="B128" i="20"/>
  <c r="G128" i="20" s="1"/>
  <c r="B135" i="20"/>
  <c r="G135" i="20" s="1"/>
  <c r="B20" i="20"/>
  <c r="B21" i="20" s="1"/>
  <c r="G21" i="20" s="1"/>
  <c r="B28" i="20"/>
  <c r="B29" i="20" s="1"/>
  <c r="G29" i="20" s="1"/>
  <c r="B36" i="20"/>
  <c r="B37" i="20" s="1"/>
  <c r="G37" i="20" s="1"/>
  <c r="B44" i="20"/>
  <c r="B66" i="20"/>
  <c r="B76" i="20"/>
  <c r="B77" i="20" s="1"/>
  <c r="G77" i="20" s="1"/>
  <c r="B95" i="20"/>
  <c r="G95" i="20" s="1"/>
  <c r="B104" i="20"/>
  <c r="G104" i="20" s="1"/>
  <c r="B112" i="20"/>
  <c r="G112" i="20" s="1"/>
  <c r="B122" i="20"/>
  <c r="G122" i="20" s="1"/>
  <c r="B130" i="20"/>
  <c r="G130" i="20" s="1"/>
  <c r="B137" i="20"/>
  <c r="G137" i="20" s="1"/>
  <c r="B139" i="20"/>
  <c r="G139" i="20" s="1"/>
  <c r="B46" i="20"/>
  <c r="B47" i="20" s="1"/>
  <c r="G47" i="20" s="1"/>
  <c r="B68" i="20"/>
  <c r="B69" i="20" s="1"/>
  <c r="G69" i="20" s="1"/>
  <c r="B98" i="20"/>
  <c r="G98" i="20" s="1"/>
  <c r="B106" i="20"/>
  <c r="G106" i="20" s="1"/>
  <c r="B116" i="20"/>
  <c r="G116" i="20" s="1"/>
  <c r="B124" i="20"/>
  <c r="G124" i="20" s="1"/>
  <c r="B131" i="20"/>
  <c r="G131" i="20" s="1"/>
  <c r="B16" i="20"/>
  <c r="B24" i="20"/>
  <c r="B25" i="20" s="1"/>
  <c r="G25" i="20" s="1"/>
  <c r="B32" i="20"/>
  <c r="B33" i="20" s="1"/>
  <c r="G33" i="20" s="1"/>
  <c r="B40" i="20"/>
  <c r="B41" i="20" s="1"/>
  <c r="B56" i="20"/>
  <c r="B70" i="20"/>
  <c r="B71" i="20" s="1"/>
  <c r="G71" i="20" s="1"/>
  <c r="B100" i="20"/>
  <c r="G100" i="20" s="1"/>
  <c r="B108" i="20"/>
  <c r="G108" i="20" s="1"/>
  <c r="B118" i="20"/>
  <c r="G118" i="20" s="1"/>
  <c r="B126" i="20"/>
  <c r="G126" i="20" s="1"/>
  <c r="B133" i="20"/>
  <c r="G133" i="20" s="1"/>
  <c r="B142" i="20"/>
  <c r="G142" i="20" s="1"/>
  <c r="B96" i="20"/>
  <c r="G96" i="20" s="1"/>
  <c r="B99" i="20"/>
  <c r="G99" i="20" s="1"/>
  <c r="B103" i="20"/>
  <c r="G103" i="20" s="1"/>
  <c r="B107" i="20"/>
  <c r="G107" i="20" s="1"/>
  <c r="B111" i="20"/>
  <c r="G111" i="20" s="1"/>
  <c r="B117" i="20"/>
  <c r="G117" i="20" s="1"/>
  <c r="B121" i="20"/>
  <c r="G121" i="20" s="1"/>
  <c r="B125" i="20"/>
  <c r="G125" i="20" s="1"/>
  <c r="B129" i="20"/>
  <c r="G129" i="20" s="1"/>
  <c r="B132" i="20"/>
  <c r="G132" i="20" s="1"/>
  <c r="B136" i="20"/>
  <c r="G136" i="20" s="1"/>
  <c r="B140" i="20"/>
  <c r="G140" i="20" s="1"/>
  <c r="B74" i="20"/>
  <c r="B97" i="20"/>
  <c r="G97" i="20" s="1"/>
  <c r="B101" i="20"/>
  <c r="G101" i="20" s="1"/>
  <c r="B105" i="20"/>
  <c r="G105" i="20" s="1"/>
  <c r="B109" i="20"/>
  <c r="G109" i="20" s="1"/>
  <c r="B115" i="20"/>
  <c r="G115" i="20" s="1"/>
  <c r="B119" i="20"/>
  <c r="G119" i="20" s="1"/>
  <c r="B123" i="20"/>
  <c r="G123" i="20" s="1"/>
  <c r="B127" i="20"/>
  <c r="G127" i="20" s="1"/>
  <c r="B134" i="20"/>
  <c r="G134" i="20" s="1"/>
  <c r="B138" i="20"/>
  <c r="G138" i="20" s="1"/>
  <c r="K67" i="40" l="1"/>
  <c r="G13" i="40"/>
  <c r="E40" i="40"/>
  <c r="G40" i="40" s="1"/>
  <c r="I40" i="40" s="1"/>
  <c r="K40" i="40" s="1"/>
  <c r="E40" i="39"/>
  <c r="G40" i="39" s="1"/>
  <c r="O63" i="39"/>
  <c r="E13" i="39"/>
  <c r="G51" i="20"/>
  <c r="G41" i="20"/>
  <c r="G38" i="20"/>
  <c r="B57" i="20"/>
  <c r="G56" i="20"/>
  <c r="G20" i="20"/>
  <c r="B35" i="20"/>
  <c r="G35" i="20" s="1"/>
  <c r="G34" i="20"/>
  <c r="B67" i="20"/>
  <c r="G67" i="20" s="1"/>
  <c r="G66" i="20"/>
  <c r="B45" i="20"/>
  <c r="G45" i="20" s="1"/>
  <c r="G44" i="20"/>
  <c r="B61" i="20"/>
  <c r="G60" i="20"/>
  <c r="G62" i="20" s="1"/>
  <c r="E41" i="36"/>
  <c r="E74" i="36"/>
  <c r="E74" i="37"/>
  <c r="G74" i="37" s="1"/>
  <c r="E41" i="37"/>
  <c r="E9" i="37"/>
  <c r="E9" i="36"/>
  <c r="G9" i="36" s="1"/>
  <c r="I9" i="36" s="1"/>
  <c r="K9" i="36" s="1"/>
  <c r="M9" i="36" s="1"/>
  <c r="O9" i="36" s="1"/>
  <c r="G28" i="20"/>
  <c r="G18" i="20"/>
  <c r="G22" i="20"/>
  <c r="G26" i="20"/>
  <c r="G14" i="20"/>
  <c r="E63" i="2"/>
  <c r="B17" i="20"/>
  <c r="G17" i="20" s="1"/>
  <c r="G36" i="2"/>
  <c r="G46" i="20"/>
  <c r="G24" i="20"/>
  <c r="G55" i="20"/>
  <c r="G49" i="20"/>
  <c r="G53" i="20"/>
  <c r="G72" i="20"/>
  <c r="G36" i="20"/>
  <c r="G68" i="20"/>
  <c r="G30" i="20"/>
  <c r="G32" i="20"/>
  <c r="G76" i="20"/>
  <c r="G70" i="20"/>
  <c r="G42" i="20"/>
  <c r="G16" i="20"/>
  <c r="B75" i="20"/>
  <c r="G75" i="20" s="1"/>
  <c r="G74" i="20"/>
  <c r="C9" i="2"/>
  <c r="I13" i="40" l="1"/>
  <c r="M40" i="40"/>
  <c r="M67" i="40"/>
  <c r="G13" i="39"/>
  <c r="C67" i="39"/>
  <c r="I40" i="39"/>
  <c r="H19" i="20"/>
  <c r="J14" i="20"/>
  <c r="H14" i="20"/>
  <c r="I14" i="20"/>
  <c r="H15" i="20"/>
  <c r="G40" i="20"/>
  <c r="H28" i="20"/>
  <c r="H17" i="20"/>
  <c r="G58" i="20"/>
  <c r="H38" i="20"/>
  <c r="H21" i="20"/>
  <c r="H37" i="20"/>
  <c r="H23" i="20"/>
  <c r="H39" i="20"/>
  <c r="H31" i="20"/>
  <c r="H16" i="20"/>
  <c r="H26" i="20"/>
  <c r="H22" i="20"/>
  <c r="H34" i="20"/>
  <c r="H25" i="20"/>
  <c r="H36" i="20"/>
  <c r="H32" i="20"/>
  <c r="H24" i="20"/>
  <c r="H18" i="20"/>
  <c r="H35" i="20"/>
  <c r="H29" i="20"/>
  <c r="H33" i="20"/>
  <c r="H30" i="20"/>
  <c r="G52" i="20"/>
  <c r="H46" i="20"/>
  <c r="G64" i="20"/>
  <c r="H20" i="20"/>
  <c r="H27" i="20"/>
  <c r="G61" i="20"/>
  <c r="G57" i="20"/>
  <c r="G9" i="37"/>
  <c r="G41" i="37"/>
  <c r="G41" i="36"/>
  <c r="G74" i="36"/>
  <c r="G48" i="20"/>
  <c r="G54" i="20"/>
  <c r="G63" i="2"/>
  <c r="I36" i="2"/>
  <c r="G50" i="20"/>
  <c r="E9" i="2"/>
  <c r="O40" i="40" l="1"/>
  <c r="O67" i="40"/>
  <c r="K13" i="40"/>
  <c r="H41" i="20"/>
  <c r="K40" i="39"/>
  <c r="D67" i="39"/>
  <c r="E67" i="39"/>
  <c r="G67" i="39" s="1"/>
  <c r="I13" i="39"/>
  <c r="I16" i="20"/>
  <c r="H51" i="20"/>
  <c r="H43" i="20"/>
  <c r="H45" i="20"/>
  <c r="H47" i="20"/>
  <c r="H44" i="20"/>
  <c r="H42" i="20"/>
  <c r="J15" i="20"/>
  <c r="I15" i="20"/>
  <c r="I33" i="20"/>
  <c r="I19" i="20"/>
  <c r="I20" i="20"/>
  <c r="I18" i="20"/>
  <c r="I24" i="20"/>
  <c r="I26" i="20"/>
  <c r="H48" i="20"/>
  <c r="H52" i="20"/>
  <c r="I35" i="20"/>
  <c r="I27" i="20"/>
  <c r="I29" i="20"/>
  <c r="I31" i="20"/>
  <c r="I23" i="20"/>
  <c r="I37" i="20"/>
  <c r="I21" i="20"/>
  <c r="H54" i="20"/>
  <c r="G65" i="20"/>
  <c r="I32" i="20"/>
  <c r="H55" i="20"/>
  <c r="I30" i="20"/>
  <c r="I34" i="20"/>
  <c r="H49" i="20"/>
  <c r="H56" i="20"/>
  <c r="I28" i="20"/>
  <c r="H58" i="20"/>
  <c r="I36" i="20"/>
  <c r="I38" i="20"/>
  <c r="I17" i="20"/>
  <c r="H40" i="20"/>
  <c r="I40" i="20"/>
  <c r="G59" i="20"/>
  <c r="J16" i="42" s="1"/>
  <c r="H57" i="20"/>
  <c r="I25" i="20"/>
  <c r="H50" i="20"/>
  <c r="I22" i="20"/>
  <c r="H53" i="20"/>
  <c r="I39" i="20"/>
  <c r="G63" i="20"/>
  <c r="I74" i="36"/>
  <c r="I41" i="36"/>
  <c r="I41" i="37"/>
  <c r="I74" i="37"/>
  <c r="I9" i="37"/>
  <c r="K9" i="37" s="1"/>
  <c r="M9" i="37" s="1"/>
  <c r="O9" i="37" s="1"/>
  <c r="I63" i="2"/>
  <c r="K36" i="2"/>
  <c r="G9" i="2"/>
  <c r="J75" i="42" l="1"/>
  <c r="F66" i="42"/>
  <c r="J10" i="42"/>
  <c r="J22" i="40"/>
  <c r="F9" i="40"/>
  <c r="J10" i="40"/>
  <c r="D67" i="40"/>
  <c r="P9" i="40"/>
  <c r="D40" i="40"/>
  <c r="D83" i="40"/>
  <c r="D9" i="40"/>
  <c r="J80" i="40"/>
  <c r="D36" i="40"/>
  <c r="P36" i="40"/>
  <c r="D63" i="40"/>
  <c r="D13" i="40"/>
  <c r="H9" i="40"/>
  <c r="P67" i="40"/>
  <c r="C71" i="40"/>
  <c r="M13" i="40"/>
  <c r="C44" i="40"/>
  <c r="J14" i="39"/>
  <c r="D63" i="39"/>
  <c r="D36" i="39"/>
  <c r="J16" i="37"/>
  <c r="P36" i="39"/>
  <c r="P9" i="39"/>
  <c r="D9" i="39"/>
  <c r="J26" i="39"/>
  <c r="D13" i="39"/>
  <c r="F9" i="39"/>
  <c r="J9" i="39"/>
  <c r="H9" i="39"/>
  <c r="D40" i="39"/>
  <c r="M40" i="39"/>
  <c r="I67" i="39"/>
  <c r="K13" i="39"/>
  <c r="J28" i="37"/>
  <c r="J16" i="36"/>
  <c r="J16" i="35"/>
  <c r="J10" i="37"/>
  <c r="J25" i="35"/>
  <c r="J16" i="20"/>
  <c r="H113" i="20"/>
  <c r="J19" i="20"/>
  <c r="I53" i="20"/>
  <c r="H114" i="20"/>
  <c r="H98" i="20"/>
  <c r="J26" i="20"/>
  <c r="J17" i="20"/>
  <c r="H154" i="20"/>
  <c r="I51" i="20"/>
  <c r="H111" i="20"/>
  <c r="H168" i="20"/>
  <c r="H83" i="20"/>
  <c r="H103" i="20"/>
  <c r="J40" i="20"/>
  <c r="H70" i="20"/>
  <c r="H159" i="20"/>
  <c r="H107" i="20"/>
  <c r="H139" i="20"/>
  <c r="J33" i="20"/>
  <c r="H164" i="20"/>
  <c r="H74" i="20"/>
  <c r="H64" i="20"/>
  <c r="I43" i="20"/>
  <c r="J32" i="20"/>
  <c r="H88" i="20"/>
  <c r="H63" i="20"/>
  <c r="H171" i="20"/>
  <c r="H105" i="20"/>
  <c r="H173" i="20"/>
  <c r="J35" i="20"/>
  <c r="H192" i="20"/>
  <c r="H119" i="20"/>
  <c r="J23" i="20"/>
  <c r="J31" i="20"/>
  <c r="J29" i="20"/>
  <c r="H179" i="20"/>
  <c r="H127" i="20"/>
  <c r="H128" i="20"/>
  <c r="H184" i="20"/>
  <c r="H185" i="20"/>
  <c r="J28" i="20"/>
  <c r="H125" i="20"/>
  <c r="H61" i="20"/>
  <c r="H71" i="20"/>
  <c r="I47" i="20"/>
  <c r="I48" i="20"/>
  <c r="H91" i="20"/>
  <c r="H134" i="20"/>
  <c r="H130" i="20"/>
  <c r="H160" i="20"/>
  <c r="J20" i="20"/>
  <c r="H68" i="20"/>
  <c r="I46" i="20"/>
  <c r="H150" i="20"/>
  <c r="J39" i="20"/>
  <c r="H82" i="20"/>
  <c r="H87" i="20"/>
  <c r="H133" i="20"/>
  <c r="H176" i="20"/>
  <c r="I44" i="20"/>
  <c r="H178" i="20"/>
  <c r="H153" i="20"/>
  <c r="H166" i="20"/>
  <c r="H189" i="20"/>
  <c r="H65" i="20"/>
  <c r="H152" i="20"/>
  <c r="H170" i="20"/>
  <c r="H108" i="20"/>
  <c r="H97" i="20"/>
  <c r="H81" i="20"/>
  <c r="H172" i="20"/>
  <c r="H157" i="20"/>
  <c r="H132" i="20"/>
  <c r="J21" i="20"/>
  <c r="H180" i="20"/>
  <c r="H165" i="20"/>
  <c r="H69" i="20"/>
  <c r="H140" i="20"/>
  <c r="H151" i="20"/>
  <c r="I49" i="20"/>
  <c r="H187" i="20"/>
  <c r="H110" i="20"/>
  <c r="H149" i="20"/>
  <c r="H142" i="20"/>
  <c r="I55" i="20"/>
  <c r="J41" i="20"/>
  <c r="H115" i="20"/>
  <c r="H190" i="20"/>
  <c r="H96" i="20"/>
  <c r="H136" i="20"/>
  <c r="H86" i="20"/>
  <c r="H183" i="20"/>
  <c r="H182" i="20"/>
  <c r="J37" i="20"/>
  <c r="I58" i="20"/>
  <c r="H100" i="20"/>
  <c r="J18" i="20"/>
  <c r="H143" i="20"/>
  <c r="H90" i="20"/>
  <c r="I41" i="20"/>
  <c r="H112" i="20"/>
  <c r="I52" i="20"/>
  <c r="H169" i="20"/>
  <c r="H102" i="20"/>
  <c r="H162" i="20"/>
  <c r="H175" i="20"/>
  <c r="J24" i="20"/>
  <c r="I50" i="20"/>
  <c r="I57" i="20"/>
  <c r="H99" i="20"/>
  <c r="H76" i="20"/>
  <c r="H191" i="20"/>
  <c r="I42" i="20"/>
  <c r="H137" i="20"/>
  <c r="J36" i="20"/>
  <c r="H124" i="20"/>
  <c r="H158" i="20"/>
  <c r="H84" i="20"/>
  <c r="H116" i="20"/>
  <c r="I56" i="20"/>
  <c r="J34" i="20"/>
  <c r="J30" i="20"/>
  <c r="H177" i="20"/>
  <c r="H163" i="20"/>
  <c r="H148" i="20"/>
  <c r="I45" i="20"/>
  <c r="H123" i="20"/>
  <c r="H121" i="20"/>
  <c r="H85" i="20"/>
  <c r="H174" i="20"/>
  <c r="H75" i="20"/>
  <c r="J25" i="20"/>
  <c r="H145" i="20"/>
  <c r="H95" i="20"/>
  <c r="J22" i="20"/>
  <c r="H62" i="20"/>
  <c r="H72" i="20"/>
  <c r="H66" i="20"/>
  <c r="H131" i="20"/>
  <c r="H109" i="20"/>
  <c r="H144" i="20"/>
  <c r="H106" i="20"/>
  <c r="H167" i="20"/>
  <c r="H101" i="20"/>
  <c r="H146" i="20"/>
  <c r="I54" i="20"/>
  <c r="H138" i="20"/>
  <c r="H118" i="20"/>
  <c r="H60" i="20"/>
  <c r="H141" i="20"/>
  <c r="H126" i="20"/>
  <c r="H59" i="20"/>
  <c r="I59" i="20"/>
  <c r="H135" i="20"/>
  <c r="H104" i="20"/>
  <c r="H147" i="20"/>
  <c r="H117" i="20"/>
  <c r="H186" i="20"/>
  <c r="H129" i="20"/>
  <c r="H161" i="20"/>
  <c r="H120" i="20"/>
  <c r="H89" i="20"/>
  <c r="H73" i="20"/>
  <c r="J27" i="20"/>
  <c r="J38" i="20"/>
  <c r="H188" i="20"/>
  <c r="H181" i="20"/>
  <c r="H77" i="20"/>
  <c r="H122" i="20"/>
  <c r="H67" i="20"/>
  <c r="H156" i="20"/>
  <c r="H155" i="20"/>
  <c r="K74" i="36"/>
  <c r="K74" i="37"/>
  <c r="K41" i="37"/>
  <c r="K41" i="36"/>
  <c r="M41" i="36" s="1"/>
  <c r="K63" i="2"/>
  <c r="M36" i="2"/>
  <c r="I9" i="2"/>
  <c r="E76" i="42" l="1"/>
  <c r="O10" i="42"/>
  <c r="P10" i="42" s="1"/>
  <c r="I41" i="40"/>
  <c r="M14" i="40"/>
  <c r="M10" i="40"/>
  <c r="I68" i="40"/>
  <c r="C10" i="40"/>
  <c r="D10" i="40" s="1"/>
  <c r="K41" i="40"/>
  <c r="C84" i="40"/>
  <c r="K37" i="40"/>
  <c r="C41" i="40"/>
  <c r="C14" i="40"/>
  <c r="D14" i="40" s="1"/>
  <c r="C64" i="40"/>
  <c r="C37" i="40"/>
  <c r="E10" i="40"/>
  <c r="F10" i="40" s="1"/>
  <c r="I37" i="40"/>
  <c r="E84" i="40"/>
  <c r="K14" i="40"/>
  <c r="L14" i="40" s="1"/>
  <c r="I64" i="40"/>
  <c r="G10" i="40"/>
  <c r="H10" i="40" s="1"/>
  <c r="K64" i="40"/>
  <c r="C72" i="40"/>
  <c r="E71" i="40"/>
  <c r="D71" i="40"/>
  <c r="E14" i="40"/>
  <c r="F14" i="40" s="1"/>
  <c r="O64" i="40"/>
  <c r="O37" i="40"/>
  <c r="C68" i="40"/>
  <c r="O13" i="40"/>
  <c r="O68" i="40"/>
  <c r="M68" i="40"/>
  <c r="M41" i="40"/>
  <c r="D44" i="40"/>
  <c r="E44" i="40"/>
  <c r="C45" i="40"/>
  <c r="O10" i="40"/>
  <c r="P10" i="40" s="1"/>
  <c r="M37" i="40"/>
  <c r="O41" i="40"/>
  <c r="K68" i="40"/>
  <c r="I80" i="39"/>
  <c r="K14" i="39"/>
  <c r="L14" i="39" s="1"/>
  <c r="M41" i="39"/>
  <c r="O64" i="39"/>
  <c r="G14" i="39"/>
  <c r="H14" i="39" s="1"/>
  <c r="O37" i="39"/>
  <c r="M37" i="39"/>
  <c r="E10" i="39"/>
  <c r="F10" i="39" s="1"/>
  <c r="C41" i="39"/>
  <c r="K67" i="39"/>
  <c r="I68" i="39"/>
  <c r="I64" i="39"/>
  <c r="I10" i="39"/>
  <c r="J10" i="39" s="1"/>
  <c r="M13" i="39"/>
  <c r="E14" i="39"/>
  <c r="F14" i="39" s="1"/>
  <c r="O40" i="39"/>
  <c r="C64" i="39"/>
  <c r="O10" i="39"/>
  <c r="P10" i="39" s="1"/>
  <c r="C10" i="39"/>
  <c r="D10" i="39" s="1"/>
  <c r="C68" i="39"/>
  <c r="I37" i="39"/>
  <c r="C37" i="39"/>
  <c r="K41" i="39"/>
  <c r="K37" i="39"/>
  <c r="K64" i="39"/>
  <c r="G10" i="39"/>
  <c r="H10" i="39" s="1"/>
  <c r="C14" i="39"/>
  <c r="D14" i="39" s="1"/>
  <c r="C10" i="2"/>
  <c r="O10" i="37"/>
  <c r="P10" i="37" s="1"/>
  <c r="M11" i="37"/>
  <c r="K11" i="37"/>
  <c r="O10" i="36"/>
  <c r="P10" i="36" s="1"/>
  <c r="G17" i="35"/>
  <c r="H17" i="35" s="1"/>
  <c r="M48" i="35"/>
  <c r="I60" i="20"/>
  <c r="J61" i="20" s="1"/>
  <c r="G30" i="35"/>
  <c r="H30" i="35" s="1"/>
  <c r="I30" i="35"/>
  <c r="J30" i="35" s="1"/>
  <c r="E30" i="35"/>
  <c r="F30" i="35" s="1"/>
  <c r="I89" i="35"/>
  <c r="M94" i="35"/>
  <c r="O94" i="35"/>
  <c r="E94" i="35"/>
  <c r="G89" i="35"/>
  <c r="K94" i="35"/>
  <c r="M89" i="35"/>
  <c r="O89" i="35"/>
  <c r="K89" i="35"/>
  <c r="E89" i="35"/>
  <c r="J43" i="20"/>
  <c r="I114" i="20"/>
  <c r="I113" i="20"/>
  <c r="I76" i="20"/>
  <c r="I74" i="20"/>
  <c r="I71" i="20"/>
  <c r="J59" i="20"/>
  <c r="J47" i="20"/>
  <c r="I64" i="20"/>
  <c r="I108" i="20"/>
  <c r="I187" i="20"/>
  <c r="I144" i="20"/>
  <c r="I147" i="20"/>
  <c r="I137" i="20"/>
  <c r="I191" i="20"/>
  <c r="I172" i="20"/>
  <c r="J57" i="20"/>
  <c r="I186" i="20"/>
  <c r="I162" i="20"/>
  <c r="I181" i="20"/>
  <c r="I118" i="20"/>
  <c r="I148" i="20"/>
  <c r="I146" i="20"/>
  <c r="I174" i="20"/>
  <c r="I185" i="20"/>
  <c r="I154" i="20"/>
  <c r="I183" i="20"/>
  <c r="I180" i="20"/>
  <c r="I182" i="20"/>
  <c r="I178" i="20"/>
  <c r="I135" i="20"/>
  <c r="I170" i="20"/>
  <c r="I139" i="20"/>
  <c r="I83" i="20"/>
  <c r="I132" i="20"/>
  <c r="I97" i="20"/>
  <c r="I157" i="20"/>
  <c r="I91" i="20"/>
  <c r="I173" i="20"/>
  <c r="I81" i="20"/>
  <c r="I87" i="20"/>
  <c r="I99" i="20"/>
  <c r="I171" i="20"/>
  <c r="I103" i="20"/>
  <c r="I75" i="20"/>
  <c r="I112" i="20"/>
  <c r="I179" i="20"/>
  <c r="I128" i="20"/>
  <c r="I189" i="20"/>
  <c r="J46" i="20"/>
  <c r="I120" i="20"/>
  <c r="I70" i="20"/>
  <c r="I130" i="20"/>
  <c r="I153" i="20"/>
  <c r="I100" i="20"/>
  <c r="I190" i="20"/>
  <c r="I152" i="20"/>
  <c r="I116" i="20"/>
  <c r="I188" i="20"/>
  <c r="I86" i="20"/>
  <c r="I96" i="20"/>
  <c r="I133" i="20"/>
  <c r="I150" i="20"/>
  <c r="I66" i="20"/>
  <c r="I155" i="20"/>
  <c r="J44" i="20"/>
  <c r="I192" i="20"/>
  <c r="I124" i="20"/>
  <c r="I165" i="20"/>
  <c r="J48" i="20"/>
  <c r="I95" i="20"/>
  <c r="I102" i="20"/>
  <c r="I143" i="20"/>
  <c r="I110" i="20"/>
  <c r="I104" i="20"/>
  <c r="I160" i="20"/>
  <c r="I156" i="20"/>
  <c r="I175" i="20"/>
  <c r="I145" i="20"/>
  <c r="I89" i="20"/>
  <c r="I176" i="20"/>
  <c r="I159" i="20"/>
  <c r="I166" i="20"/>
  <c r="I72" i="20"/>
  <c r="I111" i="20"/>
  <c r="I125" i="20"/>
  <c r="I141" i="20"/>
  <c r="I77" i="20"/>
  <c r="I90" i="20"/>
  <c r="I131" i="20"/>
  <c r="I164" i="20"/>
  <c r="I177" i="20"/>
  <c r="I123" i="20"/>
  <c r="I67" i="20"/>
  <c r="I134" i="20"/>
  <c r="J52" i="20"/>
  <c r="J49" i="20"/>
  <c r="I151" i="20"/>
  <c r="I82" i="20"/>
  <c r="I142" i="20"/>
  <c r="I163" i="20"/>
  <c r="I158" i="20"/>
  <c r="J56" i="20"/>
  <c r="I127" i="20"/>
  <c r="J50" i="20"/>
  <c r="I84" i="20"/>
  <c r="I161" i="20"/>
  <c r="I129" i="20"/>
  <c r="I65" i="20"/>
  <c r="I68" i="20"/>
  <c r="I119" i="20"/>
  <c r="I61" i="20"/>
  <c r="I105" i="20"/>
  <c r="I106" i="20"/>
  <c r="I73" i="20"/>
  <c r="I98" i="20"/>
  <c r="J53" i="20"/>
  <c r="I138" i="20"/>
  <c r="I62" i="20"/>
  <c r="I117" i="20"/>
  <c r="I122" i="20"/>
  <c r="I109" i="20"/>
  <c r="I107" i="20"/>
  <c r="I85" i="20"/>
  <c r="I149" i="20"/>
  <c r="I136" i="20"/>
  <c r="I169" i="20"/>
  <c r="J54" i="20"/>
  <c r="I115" i="20"/>
  <c r="J51" i="20"/>
  <c r="J42" i="20"/>
  <c r="J60" i="20"/>
  <c r="J45" i="20"/>
  <c r="J55" i="20"/>
  <c r="I168" i="20"/>
  <c r="I69" i="20"/>
  <c r="I140" i="20"/>
  <c r="I101" i="20"/>
  <c r="J58" i="20"/>
  <c r="I126" i="20"/>
  <c r="I184" i="20"/>
  <c r="I88" i="20"/>
  <c r="I167" i="20"/>
  <c r="I63" i="20"/>
  <c r="I121" i="20"/>
  <c r="M74" i="37"/>
  <c r="M41" i="37"/>
  <c r="M74" i="36"/>
  <c r="M63" i="2"/>
  <c r="O36" i="2"/>
  <c r="K9" i="2"/>
  <c r="E77" i="42" l="1"/>
  <c r="E17" i="42"/>
  <c r="G17" i="42"/>
  <c r="N14" i="40"/>
  <c r="M11" i="40"/>
  <c r="N10" i="40"/>
  <c r="E15" i="40"/>
  <c r="G11" i="40"/>
  <c r="O15" i="40"/>
  <c r="C17" i="40"/>
  <c r="O14" i="40"/>
  <c r="P14" i="40" s="1"/>
  <c r="C65" i="40"/>
  <c r="O69" i="40"/>
  <c r="O42" i="40"/>
  <c r="O65" i="40"/>
  <c r="C38" i="40"/>
  <c r="C11" i="40"/>
  <c r="C46" i="40"/>
  <c r="G71" i="40"/>
  <c r="I71" i="40" s="1"/>
  <c r="E72" i="40"/>
  <c r="C15" i="40"/>
  <c r="C85" i="40"/>
  <c r="O38" i="40"/>
  <c r="O11" i="40"/>
  <c r="G44" i="40"/>
  <c r="E45" i="40"/>
  <c r="C73" i="40"/>
  <c r="C42" i="40"/>
  <c r="C69" i="40"/>
  <c r="E11" i="40"/>
  <c r="K15" i="39"/>
  <c r="C65" i="39"/>
  <c r="M15" i="39"/>
  <c r="O13" i="39"/>
  <c r="O42" i="39"/>
  <c r="C44" i="39"/>
  <c r="O41" i="39"/>
  <c r="O11" i="39"/>
  <c r="E15" i="39"/>
  <c r="C42" i="39"/>
  <c r="G11" i="39"/>
  <c r="G15" i="39"/>
  <c r="C38" i="39"/>
  <c r="C11" i="39"/>
  <c r="C69" i="39"/>
  <c r="O38" i="39"/>
  <c r="I11" i="39"/>
  <c r="O65" i="39"/>
  <c r="E11" i="39"/>
  <c r="C15" i="39"/>
  <c r="M67" i="39"/>
  <c r="M68" i="39" s="1"/>
  <c r="K68" i="39"/>
  <c r="C11" i="2"/>
  <c r="G17" i="36"/>
  <c r="E17" i="36"/>
  <c r="C17" i="36"/>
  <c r="J62" i="20"/>
  <c r="O11" i="35"/>
  <c r="M11" i="35"/>
  <c r="K11" i="35"/>
  <c r="I11" i="35"/>
  <c r="G75" i="35"/>
  <c r="O75" i="35"/>
  <c r="M75" i="35"/>
  <c r="K75" i="35"/>
  <c r="I75" i="35"/>
  <c r="J114" i="20"/>
  <c r="J113" i="20"/>
  <c r="J72" i="20"/>
  <c r="J68" i="20"/>
  <c r="J140" i="20"/>
  <c r="J101" i="20"/>
  <c r="J133" i="20"/>
  <c r="J155" i="20"/>
  <c r="J95" i="20"/>
  <c r="J141" i="20"/>
  <c r="J110" i="20"/>
  <c r="J82" i="20"/>
  <c r="J84" i="20"/>
  <c r="J97" i="20"/>
  <c r="J102" i="20"/>
  <c r="J87" i="20"/>
  <c r="J178" i="20"/>
  <c r="J111" i="20"/>
  <c r="J85" i="20"/>
  <c r="J105" i="20"/>
  <c r="J129" i="20"/>
  <c r="J73" i="20"/>
  <c r="J67" i="20"/>
  <c r="J152" i="20"/>
  <c r="J126" i="20"/>
  <c r="J89" i="20"/>
  <c r="J118" i="20"/>
  <c r="J96" i="20"/>
  <c r="J128" i="20"/>
  <c r="J91" i="20"/>
  <c r="J187" i="20"/>
  <c r="J122" i="20"/>
  <c r="J137" i="20"/>
  <c r="J156" i="20"/>
  <c r="J90" i="20"/>
  <c r="J127" i="20"/>
  <c r="J142" i="20"/>
  <c r="J125" i="20"/>
  <c r="J158" i="20"/>
  <c r="J139" i="20"/>
  <c r="J153" i="20"/>
  <c r="J185" i="20"/>
  <c r="J149" i="20"/>
  <c r="J104" i="20"/>
  <c r="J150" i="20"/>
  <c r="J138" i="20"/>
  <c r="J154" i="20"/>
  <c r="J136" i="20"/>
  <c r="J108" i="20"/>
  <c r="J168" i="20"/>
  <c r="J69" i="20"/>
  <c r="J179" i="20"/>
  <c r="J132" i="20"/>
  <c r="J64" i="20"/>
  <c r="J157" i="20"/>
  <c r="J167" i="20"/>
  <c r="J192" i="20"/>
  <c r="J134" i="20"/>
  <c r="J159" i="20"/>
  <c r="J131" i="20"/>
  <c r="J175" i="20"/>
  <c r="J83" i="20"/>
  <c r="J77" i="20"/>
  <c r="J130" i="20"/>
  <c r="J116" i="20"/>
  <c r="J145" i="20"/>
  <c r="J165" i="20"/>
  <c r="J146" i="20"/>
  <c r="J161" i="20"/>
  <c r="J160" i="20"/>
  <c r="J86" i="20"/>
  <c r="J166" i="20"/>
  <c r="J171" i="20"/>
  <c r="J188" i="20"/>
  <c r="J173" i="20"/>
  <c r="J98" i="20"/>
  <c r="J75" i="20"/>
  <c r="J103" i="20"/>
  <c r="J147" i="20"/>
  <c r="J109" i="20"/>
  <c r="J189" i="20"/>
  <c r="J144" i="20"/>
  <c r="J183" i="20"/>
  <c r="J65" i="20"/>
  <c r="J186" i="20"/>
  <c r="J124" i="20"/>
  <c r="J115" i="20"/>
  <c r="J148" i="20"/>
  <c r="J76" i="20"/>
  <c r="J71" i="20"/>
  <c r="J66" i="20"/>
  <c r="J121" i="20"/>
  <c r="J143" i="20"/>
  <c r="J170" i="20"/>
  <c r="J174" i="20"/>
  <c r="J107" i="20"/>
  <c r="J99" i="20"/>
  <c r="J112" i="20"/>
  <c r="J106" i="20"/>
  <c r="J81" i="20"/>
  <c r="J181" i="20"/>
  <c r="J172" i="20"/>
  <c r="J88" i="20"/>
  <c r="J120" i="20"/>
  <c r="J63" i="20"/>
  <c r="J123" i="20"/>
  <c r="J184" i="20"/>
  <c r="J100" i="20"/>
  <c r="J151" i="20"/>
  <c r="J162" i="20"/>
  <c r="J169" i="20"/>
  <c r="J190" i="20"/>
  <c r="J70" i="20"/>
  <c r="J117" i="20"/>
  <c r="J177" i="20"/>
  <c r="J74" i="20"/>
  <c r="J164" i="20"/>
  <c r="J180" i="20"/>
  <c r="J191" i="20"/>
  <c r="J135" i="20"/>
  <c r="J182" i="20"/>
  <c r="J176" i="20"/>
  <c r="J119" i="20"/>
  <c r="J163" i="20"/>
  <c r="O41" i="37"/>
  <c r="O74" i="36"/>
  <c r="O75" i="36" s="1"/>
  <c r="O74" i="37"/>
  <c r="O75" i="37" s="1"/>
  <c r="O41" i="36"/>
  <c r="O42" i="36" s="1"/>
  <c r="O63" i="2"/>
  <c r="C40" i="2"/>
  <c r="M9" i="2"/>
  <c r="E78" i="42" l="1"/>
  <c r="K98" i="42"/>
  <c r="M12" i="40"/>
  <c r="O70" i="40"/>
  <c r="K71" i="40"/>
  <c r="E12" i="40"/>
  <c r="C47" i="40"/>
  <c r="E17" i="40"/>
  <c r="C20" i="40"/>
  <c r="C18" i="40"/>
  <c r="D18" i="40" s="1"/>
  <c r="D17" i="40"/>
  <c r="C19" i="40"/>
  <c r="C74" i="40"/>
  <c r="O16" i="40"/>
  <c r="O43" i="40"/>
  <c r="G12" i="40"/>
  <c r="E16" i="40"/>
  <c r="C12" i="40"/>
  <c r="C70" i="40"/>
  <c r="C43" i="40"/>
  <c r="O12" i="40"/>
  <c r="I44" i="40"/>
  <c r="G45" i="40"/>
  <c r="G16" i="40"/>
  <c r="C16" i="40"/>
  <c r="I16" i="39"/>
  <c r="C16" i="39"/>
  <c r="C12" i="39"/>
  <c r="O43" i="39"/>
  <c r="O67" i="39"/>
  <c r="G16" i="39"/>
  <c r="E44" i="39"/>
  <c r="C45" i="39"/>
  <c r="D44" i="39"/>
  <c r="C46" i="39"/>
  <c r="C47" i="39"/>
  <c r="O14" i="39"/>
  <c r="P14" i="39" s="1"/>
  <c r="O15" i="39"/>
  <c r="C17" i="39"/>
  <c r="O16" i="39"/>
  <c r="C43" i="39"/>
  <c r="E12" i="39"/>
  <c r="G12" i="39"/>
  <c r="E16" i="39"/>
  <c r="C70" i="39"/>
  <c r="O12" i="39"/>
  <c r="I12" i="39"/>
  <c r="C79" i="37"/>
  <c r="C79" i="36"/>
  <c r="C46" i="37"/>
  <c r="E46" i="37" s="1"/>
  <c r="C14" i="37"/>
  <c r="C14" i="36"/>
  <c r="C46" i="36"/>
  <c r="C67" i="2"/>
  <c r="E67" i="2" s="1"/>
  <c r="G67" i="2" s="1"/>
  <c r="I67" i="2" s="1"/>
  <c r="K67" i="2" s="1"/>
  <c r="M67" i="2" s="1"/>
  <c r="E40" i="2"/>
  <c r="O9" i="2"/>
  <c r="E18" i="40" l="1"/>
  <c r="F18" i="40" s="1"/>
  <c r="G17" i="40"/>
  <c r="I45" i="40"/>
  <c r="K44" i="40"/>
  <c r="M71" i="40"/>
  <c r="O71" i="40" s="1"/>
  <c r="K72" i="40"/>
  <c r="G44" i="39"/>
  <c r="G45" i="39" s="1"/>
  <c r="E45" i="39"/>
  <c r="C20" i="39"/>
  <c r="E17" i="39"/>
  <c r="C18" i="39"/>
  <c r="D18" i="39" s="1"/>
  <c r="D17" i="39"/>
  <c r="C19" i="39"/>
  <c r="P67" i="39"/>
  <c r="C71" i="39"/>
  <c r="O70" i="39"/>
  <c r="O68" i="39"/>
  <c r="O69" i="39"/>
  <c r="C16" i="36"/>
  <c r="E14" i="36"/>
  <c r="G14" i="36" s="1"/>
  <c r="I14" i="36" s="1"/>
  <c r="K14" i="36" s="1"/>
  <c r="E16" i="36"/>
  <c r="D46" i="37"/>
  <c r="E14" i="37"/>
  <c r="E79" i="36"/>
  <c r="E79" i="37"/>
  <c r="E46" i="36"/>
  <c r="G40" i="2"/>
  <c r="C13" i="2"/>
  <c r="O72" i="40" l="1"/>
  <c r="P71" i="40"/>
  <c r="C75" i="40"/>
  <c r="K45" i="40"/>
  <c r="M44" i="40"/>
  <c r="I17" i="40"/>
  <c r="G18" i="40"/>
  <c r="H18" i="40" s="1"/>
  <c r="E18" i="39"/>
  <c r="F18" i="39" s="1"/>
  <c r="G17" i="39"/>
  <c r="E71" i="39"/>
  <c r="C72" i="39"/>
  <c r="D71" i="39"/>
  <c r="C73" i="39"/>
  <c r="C74" i="39"/>
  <c r="I44" i="39"/>
  <c r="I45" i="39" s="1"/>
  <c r="M14" i="36"/>
  <c r="K18" i="36"/>
  <c r="G46" i="36"/>
  <c r="G79" i="37"/>
  <c r="G79" i="36"/>
  <c r="G14" i="37"/>
  <c r="G46" i="37"/>
  <c r="I40" i="2"/>
  <c r="E13" i="2"/>
  <c r="I18" i="40" l="1"/>
  <c r="J18" i="40" s="1"/>
  <c r="K17" i="40"/>
  <c r="E75" i="40"/>
  <c r="C77" i="40"/>
  <c r="C76" i="40"/>
  <c r="D75" i="40"/>
  <c r="C78" i="40"/>
  <c r="M45" i="40"/>
  <c r="O44" i="40"/>
  <c r="E72" i="39"/>
  <c r="G71" i="39"/>
  <c r="G18" i="39"/>
  <c r="H18" i="39" s="1"/>
  <c r="I17" i="39"/>
  <c r="K44" i="39"/>
  <c r="I14" i="37"/>
  <c r="I79" i="37"/>
  <c r="I46" i="37"/>
  <c r="I79" i="36"/>
  <c r="I46" i="36"/>
  <c r="K40" i="2"/>
  <c r="G13" i="2"/>
  <c r="G75" i="40" l="1"/>
  <c r="C48" i="40"/>
  <c r="O47" i="40"/>
  <c r="O46" i="40"/>
  <c r="O45" i="40"/>
  <c r="P44" i="40"/>
  <c r="K18" i="40"/>
  <c r="L18" i="40" s="1"/>
  <c r="M17" i="40"/>
  <c r="K45" i="39"/>
  <c r="M44" i="39"/>
  <c r="K17" i="39"/>
  <c r="I18" i="39"/>
  <c r="J18" i="39" s="1"/>
  <c r="I71" i="39"/>
  <c r="I72" i="39" s="1"/>
  <c r="K46" i="37"/>
  <c r="K79" i="37"/>
  <c r="K79" i="36"/>
  <c r="K14" i="37"/>
  <c r="K46" i="36"/>
  <c r="M40" i="2"/>
  <c r="I13" i="2"/>
  <c r="C51" i="40" l="1"/>
  <c r="C49" i="40"/>
  <c r="C50" i="40"/>
  <c r="D48" i="40"/>
  <c r="E48" i="40"/>
  <c r="I75" i="40"/>
  <c r="G76" i="40"/>
  <c r="O17" i="40"/>
  <c r="M18" i="40"/>
  <c r="N18" i="40" s="1"/>
  <c r="K18" i="39"/>
  <c r="L18" i="39" s="1"/>
  <c r="M17" i="39"/>
  <c r="K71" i="39"/>
  <c r="O44" i="39"/>
  <c r="M45" i="39"/>
  <c r="M14" i="37"/>
  <c r="M79" i="36"/>
  <c r="M46" i="37"/>
  <c r="M79" i="37"/>
  <c r="M46" i="36"/>
  <c r="O40" i="2"/>
  <c r="K13" i="2"/>
  <c r="K75" i="40" l="1"/>
  <c r="O20" i="40"/>
  <c r="O19" i="40"/>
  <c r="P17" i="40"/>
  <c r="C21" i="40"/>
  <c r="O18" i="40"/>
  <c r="P18" i="40" s="1"/>
  <c r="E49" i="40"/>
  <c r="F48" i="40"/>
  <c r="G48" i="40"/>
  <c r="M71" i="39"/>
  <c r="K72" i="39"/>
  <c r="O46" i="39"/>
  <c r="C48" i="39"/>
  <c r="P44" i="39"/>
  <c r="O47" i="39"/>
  <c r="O45" i="39"/>
  <c r="M18" i="39"/>
  <c r="N18" i="39" s="1"/>
  <c r="O17" i="39"/>
  <c r="O14" i="37"/>
  <c r="O15" i="37" s="1"/>
  <c r="O14" i="36"/>
  <c r="O15" i="36" s="1"/>
  <c r="O79" i="37"/>
  <c r="O80" i="37" s="1"/>
  <c r="O46" i="37"/>
  <c r="O47" i="37" s="1"/>
  <c r="O46" i="36"/>
  <c r="O47" i="36" s="1"/>
  <c r="O79" i="36"/>
  <c r="O80" i="36" s="1"/>
  <c r="O67" i="2"/>
  <c r="C44" i="2"/>
  <c r="M13" i="2"/>
  <c r="C22" i="40" l="1"/>
  <c r="D22" i="40" s="1"/>
  <c r="C24" i="40"/>
  <c r="C23" i="40"/>
  <c r="E21" i="40"/>
  <c r="E22" i="40" s="1"/>
  <c r="F22" i="40" s="1"/>
  <c r="D21" i="40"/>
  <c r="G49" i="40"/>
  <c r="I48" i="40"/>
  <c r="H48" i="40"/>
  <c r="M75" i="40"/>
  <c r="K76" i="40"/>
  <c r="C50" i="39"/>
  <c r="C49" i="39"/>
  <c r="C51" i="39"/>
  <c r="E48" i="39"/>
  <c r="D48" i="39"/>
  <c r="O18" i="39"/>
  <c r="P18" i="39" s="1"/>
  <c r="O19" i="39"/>
  <c r="P17" i="39"/>
  <c r="C21" i="39"/>
  <c r="O20" i="39"/>
  <c r="O71" i="39"/>
  <c r="C51" i="36"/>
  <c r="C51" i="37"/>
  <c r="C84" i="37"/>
  <c r="C84" i="36"/>
  <c r="C19" i="37"/>
  <c r="C19" i="36"/>
  <c r="C23" i="36" s="1"/>
  <c r="C71" i="2"/>
  <c r="E44" i="2"/>
  <c r="O13" i="2"/>
  <c r="C17" i="2" s="1"/>
  <c r="E17" i="2" s="1"/>
  <c r="G17" i="2" s="1"/>
  <c r="I17" i="2" s="1"/>
  <c r="K17" i="2" s="1"/>
  <c r="M17" i="2" s="1"/>
  <c r="O17" i="2" s="1"/>
  <c r="C21" i="2" s="1"/>
  <c r="E21" i="2" s="1"/>
  <c r="G21" i="40" l="1"/>
  <c r="F21" i="40"/>
  <c r="K48" i="40"/>
  <c r="J48" i="40"/>
  <c r="I49" i="40"/>
  <c r="O75" i="40"/>
  <c r="G48" i="39"/>
  <c r="F48" i="39"/>
  <c r="E49" i="39"/>
  <c r="C75" i="39"/>
  <c r="P71" i="39"/>
  <c r="O72" i="39"/>
  <c r="C22" i="39"/>
  <c r="D22" i="39" s="1"/>
  <c r="C23" i="39"/>
  <c r="E21" i="39"/>
  <c r="D21" i="39"/>
  <c r="C24" i="39"/>
  <c r="E51" i="37"/>
  <c r="E19" i="37"/>
  <c r="E19" i="36"/>
  <c r="E23" i="36" s="1"/>
  <c r="E84" i="36"/>
  <c r="E84" i="37"/>
  <c r="G84" i="37" s="1"/>
  <c r="H84" i="37" s="1"/>
  <c r="E51" i="36"/>
  <c r="E71" i="2"/>
  <c r="G44" i="2"/>
  <c r="G21" i="2"/>
  <c r="I21" i="2" s="1"/>
  <c r="K21" i="2" s="1"/>
  <c r="M21" i="2" s="1"/>
  <c r="O21" i="2" s="1"/>
  <c r="C25" i="2" s="1"/>
  <c r="E25" i="2" s="1"/>
  <c r="G25" i="2" s="1"/>
  <c r="I25" i="2" s="1"/>
  <c r="K25" i="2" s="1"/>
  <c r="M25" i="2" s="1"/>
  <c r="C79" i="40" l="1"/>
  <c r="O76" i="40"/>
  <c r="P75" i="40"/>
  <c r="M48" i="40"/>
  <c r="L48" i="40"/>
  <c r="K49" i="40"/>
  <c r="I21" i="40"/>
  <c r="H21" i="40"/>
  <c r="C78" i="39"/>
  <c r="E75" i="39"/>
  <c r="C76" i="39"/>
  <c r="D75" i="39"/>
  <c r="C77" i="39"/>
  <c r="G21" i="39"/>
  <c r="F21" i="39"/>
  <c r="E22" i="39"/>
  <c r="F22" i="39" s="1"/>
  <c r="H48" i="39"/>
  <c r="G49" i="39"/>
  <c r="I48" i="39"/>
  <c r="G19" i="37"/>
  <c r="F19" i="37"/>
  <c r="G51" i="37"/>
  <c r="G51" i="36"/>
  <c r="G19" i="36"/>
  <c r="G23" i="36" s="1"/>
  <c r="G84" i="36"/>
  <c r="G71" i="2"/>
  <c r="I44" i="2"/>
  <c r="O25" i="2"/>
  <c r="C29" i="2" s="1"/>
  <c r="E29" i="2" s="1"/>
  <c r="O48" i="40" l="1"/>
  <c r="N48" i="40"/>
  <c r="M49" i="40"/>
  <c r="J21" i="40"/>
  <c r="K21" i="40"/>
  <c r="C80" i="40"/>
  <c r="C81" i="40"/>
  <c r="E79" i="40"/>
  <c r="C82" i="40"/>
  <c r="D79" i="40"/>
  <c r="I21" i="39"/>
  <c r="H21" i="39"/>
  <c r="I49" i="39"/>
  <c r="K48" i="39"/>
  <c r="J48" i="39"/>
  <c r="E76" i="39"/>
  <c r="G75" i="39"/>
  <c r="I19" i="36"/>
  <c r="I23" i="36" s="1"/>
  <c r="I51" i="36"/>
  <c r="I84" i="36"/>
  <c r="I19" i="37"/>
  <c r="I51" i="37"/>
  <c r="I71" i="2"/>
  <c r="K44" i="2"/>
  <c r="K22" i="40" l="1"/>
  <c r="L22" i="40" s="1"/>
  <c r="M21" i="40"/>
  <c r="L21" i="40"/>
  <c r="G79" i="40"/>
  <c r="G80" i="40" s="1"/>
  <c r="O51" i="40"/>
  <c r="O50" i="40"/>
  <c r="P48" i="40"/>
  <c r="C52" i="40"/>
  <c r="O49" i="40"/>
  <c r="I75" i="39"/>
  <c r="G76" i="39"/>
  <c r="K49" i="39"/>
  <c r="M48" i="39"/>
  <c r="L48" i="39"/>
  <c r="I22" i="39"/>
  <c r="J22" i="39" s="1"/>
  <c r="K21" i="39"/>
  <c r="J21" i="39"/>
  <c r="K19" i="37"/>
  <c r="K51" i="37"/>
  <c r="K84" i="36"/>
  <c r="K19" i="36"/>
  <c r="K23" i="36" s="1"/>
  <c r="K51" i="36"/>
  <c r="K71" i="2"/>
  <c r="M44" i="2"/>
  <c r="M22" i="40" l="1"/>
  <c r="N22" i="40" s="1"/>
  <c r="O21" i="40"/>
  <c r="N21" i="40"/>
  <c r="C55" i="40"/>
  <c r="C53" i="40"/>
  <c r="C54" i="40"/>
  <c r="E52" i="40"/>
  <c r="D52" i="40"/>
  <c r="O48" i="39"/>
  <c r="M49" i="39"/>
  <c r="N48" i="39"/>
  <c r="K22" i="39"/>
  <c r="L22" i="39" s="1"/>
  <c r="M21" i="39"/>
  <c r="L21" i="39"/>
  <c r="K75" i="39"/>
  <c r="I76" i="39"/>
  <c r="M51" i="36"/>
  <c r="M19" i="37"/>
  <c r="M51" i="37"/>
  <c r="M19" i="36"/>
  <c r="M23" i="36" s="1"/>
  <c r="M84" i="36"/>
  <c r="M71" i="2"/>
  <c r="O44" i="2"/>
  <c r="E53" i="40" l="1"/>
  <c r="G52" i="40"/>
  <c r="F52" i="40"/>
  <c r="C25" i="40"/>
  <c r="O24" i="40"/>
  <c r="P21" i="40"/>
  <c r="O23" i="40"/>
  <c r="O22" i="40"/>
  <c r="P22" i="40" s="1"/>
  <c r="O21" i="39"/>
  <c r="N21" i="39"/>
  <c r="M22" i="39"/>
  <c r="N22" i="39" s="1"/>
  <c r="M75" i="39"/>
  <c r="K76" i="39"/>
  <c r="C52" i="39"/>
  <c r="P48" i="39"/>
  <c r="O51" i="39"/>
  <c r="O49" i="39"/>
  <c r="O50" i="39"/>
  <c r="O19" i="36"/>
  <c r="O20" i="36" s="1"/>
  <c r="O19" i="37"/>
  <c r="O20" i="37" s="1"/>
  <c r="O84" i="36"/>
  <c r="O51" i="37"/>
  <c r="O52" i="37" s="1"/>
  <c r="O51" i="36"/>
  <c r="O52" i="36" s="1"/>
  <c r="O71" i="2"/>
  <c r="C48" i="2"/>
  <c r="C27" i="40" l="1"/>
  <c r="D25" i="40"/>
  <c r="E25" i="40"/>
  <c r="C26" i="40"/>
  <c r="D26" i="40" s="1"/>
  <c r="C28" i="40"/>
  <c r="G53" i="40"/>
  <c r="I52" i="40"/>
  <c r="H52" i="40"/>
  <c r="G54" i="40"/>
  <c r="C55" i="39"/>
  <c r="C53" i="39"/>
  <c r="C54" i="39"/>
  <c r="E52" i="39"/>
  <c r="D52" i="39"/>
  <c r="O75" i="39"/>
  <c r="M76" i="39"/>
  <c r="P21" i="39"/>
  <c r="C25" i="39"/>
  <c r="O24" i="39"/>
  <c r="O22" i="39"/>
  <c r="P22" i="39" s="1"/>
  <c r="O23" i="39"/>
  <c r="C56" i="36"/>
  <c r="C89" i="36"/>
  <c r="C56" i="37"/>
  <c r="C24" i="36"/>
  <c r="C28" i="36" s="1"/>
  <c r="C24" i="37"/>
  <c r="C75" i="2"/>
  <c r="E48" i="2"/>
  <c r="I53" i="40" l="1"/>
  <c r="J52" i="40"/>
  <c r="I54" i="40"/>
  <c r="K52" i="40"/>
  <c r="E26" i="40"/>
  <c r="F26" i="40" s="1"/>
  <c r="G25" i="40"/>
  <c r="F25" i="40"/>
  <c r="P75" i="39"/>
  <c r="O76" i="39"/>
  <c r="C79" i="39"/>
  <c r="E53" i="39"/>
  <c r="G52" i="39"/>
  <c r="F52" i="39"/>
  <c r="E25" i="39"/>
  <c r="C27" i="39"/>
  <c r="D25" i="39"/>
  <c r="C28" i="39"/>
  <c r="C26" i="39"/>
  <c r="D26" i="39" s="1"/>
  <c r="E24" i="37"/>
  <c r="E24" i="36"/>
  <c r="E28" i="36" s="1"/>
  <c r="E56" i="37"/>
  <c r="E89" i="36"/>
  <c r="E56" i="36"/>
  <c r="E75" i="2"/>
  <c r="G48" i="2"/>
  <c r="G26" i="40" l="1"/>
  <c r="H26" i="40" s="1"/>
  <c r="I25" i="40"/>
  <c r="I26" i="40" s="1"/>
  <c r="J26" i="40" s="1"/>
  <c r="H25" i="40"/>
  <c r="K53" i="40"/>
  <c r="M52" i="40"/>
  <c r="G53" i="39"/>
  <c r="I52" i="39"/>
  <c r="H52" i="39"/>
  <c r="G54" i="39"/>
  <c r="E26" i="39"/>
  <c r="F26" i="39" s="1"/>
  <c r="G25" i="39"/>
  <c r="F25" i="39"/>
  <c r="C81" i="39"/>
  <c r="E79" i="39"/>
  <c r="D79" i="39"/>
  <c r="C82" i="39"/>
  <c r="C80" i="39"/>
  <c r="G56" i="36"/>
  <c r="G24" i="36"/>
  <c r="G28" i="36" s="1"/>
  <c r="G56" i="37"/>
  <c r="G24" i="37"/>
  <c r="G89" i="36"/>
  <c r="G75" i="2"/>
  <c r="I48" i="2"/>
  <c r="M53" i="40" l="1"/>
  <c r="O52" i="40"/>
  <c r="K25" i="40"/>
  <c r="J25" i="40"/>
  <c r="G26" i="39"/>
  <c r="H26" i="39" s="1"/>
  <c r="I25" i="39"/>
  <c r="H25" i="39"/>
  <c r="K52" i="39"/>
  <c r="I53" i="39"/>
  <c r="J52" i="39"/>
  <c r="I54" i="39"/>
  <c r="G79" i="39"/>
  <c r="E80" i="39"/>
  <c r="I56" i="37"/>
  <c r="I56" i="36"/>
  <c r="I89" i="36"/>
  <c r="I24" i="36"/>
  <c r="I28" i="36" s="1"/>
  <c r="I24" i="37"/>
  <c r="I75" i="2"/>
  <c r="K48" i="2"/>
  <c r="K26" i="40" l="1"/>
  <c r="L26" i="40" s="1"/>
  <c r="O54" i="40"/>
  <c r="O55" i="40"/>
  <c r="O53" i="40"/>
  <c r="P52" i="40"/>
  <c r="C56" i="40"/>
  <c r="K53" i="39"/>
  <c r="M52" i="39"/>
  <c r="K25" i="39"/>
  <c r="J25" i="39"/>
  <c r="G80" i="39"/>
  <c r="K24" i="37"/>
  <c r="K56" i="36"/>
  <c r="K56" i="37"/>
  <c r="K89" i="36"/>
  <c r="K24" i="36"/>
  <c r="K28" i="36" s="1"/>
  <c r="K75" i="2"/>
  <c r="M48" i="2"/>
  <c r="N26" i="40" l="1"/>
  <c r="O25" i="40"/>
  <c r="C57" i="40"/>
  <c r="D57" i="40" s="1"/>
  <c r="C59" i="40"/>
  <c r="C58" i="40"/>
  <c r="D56" i="40"/>
  <c r="E56" i="40"/>
  <c r="M25" i="39"/>
  <c r="K26" i="39"/>
  <c r="L26" i="39" s="1"/>
  <c r="O52" i="39"/>
  <c r="M53" i="39"/>
  <c r="M24" i="37"/>
  <c r="M24" i="36"/>
  <c r="M28" i="36" s="1"/>
  <c r="M89" i="36"/>
  <c r="M56" i="37"/>
  <c r="M56" i="36"/>
  <c r="M75" i="2"/>
  <c r="O48" i="2"/>
  <c r="E57" i="40" l="1"/>
  <c r="F57" i="40" s="1"/>
  <c r="F56" i="40"/>
  <c r="E58" i="40"/>
  <c r="O26" i="40"/>
  <c r="P26" i="40" s="1"/>
  <c r="C29" i="40"/>
  <c r="O28" i="40"/>
  <c r="P25" i="40"/>
  <c r="O27" i="40"/>
  <c r="O55" i="39"/>
  <c r="O54" i="39"/>
  <c r="P52" i="39"/>
  <c r="O53" i="39"/>
  <c r="C56" i="39"/>
  <c r="O25" i="39"/>
  <c r="M26" i="39"/>
  <c r="N26" i="39" s="1"/>
  <c r="O56" i="36"/>
  <c r="O57" i="36" s="1"/>
  <c r="O24" i="37"/>
  <c r="O25" i="37" s="1"/>
  <c r="O56" i="37"/>
  <c r="O57" i="37" s="1"/>
  <c r="O89" i="36"/>
  <c r="O24" i="36"/>
  <c r="O25" i="36" s="1"/>
  <c r="O75" i="2"/>
  <c r="C52" i="2"/>
  <c r="C30" i="40" l="1"/>
  <c r="D30" i="40" s="1"/>
  <c r="D29" i="40"/>
  <c r="C32" i="40"/>
  <c r="E29" i="40"/>
  <c r="C31" i="40"/>
  <c r="C58" i="39"/>
  <c r="C57" i="39"/>
  <c r="D57" i="39" s="1"/>
  <c r="C59" i="39"/>
  <c r="E56" i="39"/>
  <c r="D56" i="39"/>
  <c r="C29" i="39"/>
  <c r="O26" i="39"/>
  <c r="P26" i="39" s="1"/>
  <c r="O28" i="39"/>
  <c r="O27" i="39"/>
  <c r="P25" i="39"/>
  <c r="C94" i="36"/>
  <c r="C29" i="37"/>
  <c r="C61" i="36"/>
  <c r="C61" i="37"/>
  <c r="C29" i="36"/>
  <c r="C79" i="2"/>
  <c r="E52" i="2"/>
  <c r="F29" i="40" l="1"/>
  <c r="E31" i="40"/>
  <c r="E30" i="40"/>
  <c r="F30" i="40" s="1"/>
  <c r="C32" i="39"/>
  <c r="E29" i="39"/>
  <c r="D29" i="39"/>
  <c r="C31" i="39"/>
  <c r="C30" i="39"/>
  <c r="D30" i="39" s="1"/>
  <c r="E57" i="39"/>
  <c r="F57" i="39" s="1"/>
  <c r="F56" i="39"/>
  <c r="E58" i="39"/>
  <c r="C83" i="39"/>
  <c r="E61" i="37"/>
  <c r="E61" i="36"/>
  <c r="E29" i="36"/>
  <c r="E29" i="37"/>
  <c r="G29" i="37" s="1"/>
  <c r="E94" i="36"/>
  <c r="E79" i="2"/>
  <c r="G52" i="2"/>
  <c r="C85" i="39" l="1"/>
  <c r="C84" i="39"/>
  <c r="E83" i="39"/>
  <c r="E84" i="39" s="1"/>
  <c r="D83" i="39"/>
  <c r="F29" i="39"/>
  <c r="E31" i="39"/>
  <c r="E30" i="39"/>
  <c r="F30" i="39" s="1"/>
  <c r="G61" i="37"/>
  <c r="G94" i="36"/>
  <c r="I94" i="36" s="1"/>
  <c r="G61" i="36"/>
  <c r="G29" i="36"/>
  <c r="G79" i="2"/>
  <c r="I52" i="2"/>
  <c r="I61" i="37" l="1"/>
  <c r="I29" i="36"/>
  <c r="I29" i="37"/>
  <c r="I61" i="36"/>
  <c r="I79" i="2"/>
  <c r="K52" i="2"/>
  <c r="K29" i="37" l="1"/>
  <c r="K94" i="36"/>
  <c r="K61" i="36"/>
  <c r="K29" i="36"/>
  <c r="K61" i="37"/>
  <c r="K79" i="2"/>
  <c r="M52" i="2"/>
  <c r="M61" i="37" l="1"/>
  <c r="M29" i="36"/>
  <c r="M94" i="36"/>
  <c r="M29" i="37"/>
  <c r="M61" i="36"/>
  <c r="M79" i="2"/>
  <c r="O52" i="2"/>
  <c r="C56" i="2" s="1"/>
  <c r="C57" i="2" s="1"/>
  <c r="D57" i="2" s="1"/>
  <c r="E56" i="2" l="1"/>
  <c r="E57" i="2" s="1"/>
  <c r="F57" i="2" s="1"/>
  <c r="D56" i="2"/>
  <c r="C58" i="2"/>
  <c r="C59" i="2"/>
  <c r="O29" i="37"/>
  <c r="O30" i="37" s="1"/>
  <c r="O29" i="36"/>
  <c r="O61" i="37"/>
  <c r="O61" i="36"/>
  <c r="O94" i="36"/>
  <c r="O79" i="2"/>
  <c r="C83" i="2" s="1"/>
  <c r="F56" i="2" l="1"/>
  <c r="E58" i="2"/>
  <c r="C66" i="36"/>
  <c r="C67" i="36" s="1"/>
  <c r="C66" i="37"/>
  <c r="C67" i="37" s="1"/>
  <c r="C34" i="37"/>
  <c r="C99" i="36"/>
  <c r="C34" i="36"/>
  <c r="E83" i="2"/>
  <c r="E34" i="36" l="1"/>
  <c r="E66" i="36"/>
  <c r="E34" i="37"/>
  <c r="E66" i="37"/>
  <c r="E99" i="36"/>
  <c r="D84" i="36" l="1"/>
  <c r="L89" i="36"/>
  <c r="L56" i="37"/>
  <c r="J19" i="37"/>
  <c r="N51" i="36"/>
  <c r="P84" i="36"/>
  <c r="D24" i="37"/>
  <c r="F29" i="37"/>
  <c r="F34" i="37"/>
  <c r="D9" i="35"/>
  <c r="D41" i="36"/>
  <c r="F74" i="36"/>
  <c r="D41" i="37"/>
  <c r="F36" i="2"/>
  <c r="F9" i="36"/>
  <c r="H41" i="37"/>
  <c r="H9" i="37"/>
  <c r="F9" i="37"/>
  <c r="D9" i="37"/>
  <c r="D9" i="36"/>
  <c r="D74" i="36"/>
  <c r="F41" i="36"/>
  <c r="H41" i="36"/>
  <c r="D74" i="37"/>
  <c r="J41" i="36"/>
  <c r="F41" i="37"/>
  <c r="J41" i="37"/>
  <c r="L41" i="37"/>
  <c r="L41" i="36"/>
  <c r="N41" i="37"/>
  <c r="P9" i="36"/>
  <c r="P74" i="36"/>
  <c r="P41" i="37"/>
  <c r="P74" i="37"/>
  <c r="D14" i="37"/>
  <c r="D14" i="36"/>
  <c r="D67" i="2"/>
  <c r="P41" i="36"/>
  <c r="D79" i="37"/>
  <c r="D46" i="36"/>
  <c r="D79" i="36"/>
  <c r="L79" i="37"/>
  <c r="P79" i="36"/>
  <c r="N79" i="37"/>
  <c r="P40" i="2"/>
  <c r="P79" i="37"/>
  <c r="P46" i="37"/>
  <c r="P46" i="36"/>
  <c r="P14" i="37"/>
  <c r="P14" i="36"/>
  <c r="D19" i="37"/>
  <c r="D51" i="37"/>
  <c r="F19" i="36"/>
  <c r="F84" i="36"/>
  <c r="D84" i="37"/>
  <c r="H19" i="37"/>
  <c r="D19" i="36"/>
  <c r="F84" i="37"/>
  <c r="J51" i="36"/>
  <c r="H19" i="36"/>
  <c r="J19" i="36"/>
  <c r="H84" i="36"/>
  <c r="P51" i="37"/>
  <c r="J84" i="36"/>
  <c r="L19" i="36"/>
  <c r="L84" i="36"/>
  <c r="L19" i="37"/>
  <c r="N19" i="37"/>
  <c r="L51" i="36"/>
  <c r="N19" i="36"/>
  <c r="P51" i="36"/>
  <c r="P19" i="36"/>
  <c r="N84" i="36"/>
  <c r="D56" i="36"/>
  <c r="F56" i="36"/>
  <c r="P19" i="37"/>
  <c r="D56" i="37"/>
  <c r="D24" i="36"/>
  <c r="D89" i="36"/>
  <c r="F24" i="37"/>
  <c r="F89" i="36"/>
  <c r="F56" i="37"/>
  <c r="F24" i="36"/>
  <c r="H24" i="36"/>
  <c r="H89" i="36"/>
  <c r="H56" i="36"/>
  <c r="H56" i="37"/>
  <c r="L24" i="37"/>
  <c r="J56" i="37"/>
  <c r="J56" i="36"/>
  <c r="H24" i="37"/>
  <c r="J89" i="36"/>
  <c r="J24" i="36"/>
  <c r="N56" i="36"/>
  <c r="L56" i="36"/>
  <c r="L24" i="36"/>
  <c r="N56" i="37"/>
  <c r="N24" i="37"/>
  <c r="D61" i="36"/>
  <c r="P56" i="37"/>
  <c r="P24" i="37"/>
  <c r="P24" i="36"/>
  <c r="N24" i="36"/>
  <c r="N89" i="36"/>
  <c r="P89" i="36"/>
  <c r="D61" i="37"/>
  <c r="D94" i="36"/>
  <c r="D29" i="37"/>
  <c r="P56" i="36"/>
  <c r="F61" i="36"/>
  <c r="H29" i="36"/>
  <c r="F29" i="36"/>
  <c r="F94" i="36"/>
  <c r="F61" i="37"/>
  <c r="H94" i="36"/>
  <c r="H61" i="37"/>
  <c r="H61" i="36"/>
  <c r="H29" i="37"/>
  <c r="J61" i="36"/>
  <c r="J29" i="37"/>
  <c r="L29" i="37"/>
  <c r="J29" i="36"/>
  <c r="L61" i="37"/>
  <c r="L29" i="36"/>
  <c r="L94" i="36"/>
  <c r="L61" i="36"/>
  <c r="J61" i="37"/>
  <c r="N94" i="36"/>
  <c r="N29" i="37"/>
  <c r="N61" i="36"/>
  <c r="N29" i="36"/>
  <c r="P29" i="37"/>
  <c r="P94" i="36"/>
  <c r="P61" i="36"/>
  <c r="P61" i="37"/>
  <c r="F34" i="36"/>
  <c r="D34" i="37"/>
  <c r="P29" i="36"/>
  <c r="D34" i="36"/>
  <c r="D99" i="36"/>
  <c r="D66" i="36"/>
  <c r="F66" i="37"/>
  <c r="D83" i="2"/>
  <c r="F99" i="36"/>
  <c r="F66" i="36"/>
  <c r="D66" i="37"/>
  <c r="H36" i="2"/>
  <c r="D63" i="2"/>
  <c r="F63" i="2"/>
  <c r="J36" i="2"/>
  <c r="D36" i="2"/>
  <c r="H63" i="2"/>
  <c r="L36" i="2"/>
  <c r="J63" i="2"/>
  <c r="N36" i="2"/>
  <c r="L63" i="2"/>
  <c r="P36" i="2"/>
  <c r="N63" i="2"/>
  <c r="D40" i="2"/>
  <c r="D71" i="2"/>
  <c r="D44" i="2"/>
  <c r="P67" i="2"/>
  <c r="P44" i="2"/>
  <c r="D48" i="2"/>
  <c r="P71" i="2"/>
  <c r="F48" i="2"/>
  <c r="H48" i="2"/>
  <c r="D75" i="2"/>
  <c r="L48" i="2"/>
  <c r="J48" i="2"/>
  <c r="N48" i="2"/>
  <c r="P48" i="2"/>
  <c r="H52" i="2"/>
  <c r="P75" i="2"/>
  <c r="F52" i="2"/>
  <c r="D52" i="2"/>
  <c r="D79" i="2"/>
  <c r="J52" i="2"/>
  <c r="P52" i="2"/>
  <c r="F21" i="2"/>
  <c r="F29" i="2"/>
  <c r="D29" i="2"/>
  <c r="F25" i="2"/>
  <c r="D25" i="2"/>
  <c r="D17" i="2"/>
  <c r="D21" i="2"/>
  <c r="H25" i="2"/>
  <c r="H21" i="2"/>
  <c r="J21" i="2"/>
  <c r="J25" i="2"/>
  <c r="L21" i="2"/>
  <c r="P21" i="2"/>
  <c r="N21" i="2"/>
  <c r="P17" i="2"/>
  <c r="P25" i="2"/>
  <c r="D13" i="2"/>
  <c r="P9" i="2"/>
  <c r="J9" i="2"/>
  <c r="D9" i="2"/>
  <c r="H9" i="2"/>
  <c r="F9" i="2"/>
  <c r="C43" i="36" l="1"/>
  <c r="E43" i="37"/>
  <c r="E11" i="36"/>
  <c r="F11" i="36" s="1"/>
  <c r="C43" i="37"/>
  <c r="C11" i="36"/>
  <c r="D11" i="36" s="1"/>
  <c r="E11" i="37"/>
  <c r="F11" i="37" s="1"/>
  <c r="C11" i="37"/>
  <c r="D11" i="37" s="1"/>
  <c r="E43" i="36"/>
  <c r="C76" i="37"/>
  <c r="C76" i="36"/>
  <c r="G11" i="37"/>
  <c r="H11" i="37" s="1"/>
  <c r="K11" i="36"/>
  <c r="G43" i="37"/>
  <c r="I43" i="37"/>
  <c r="G43" i="36"/>
  <c r="I43" i="36"/>
  <c r="I11" i="36"/>
  <c r="J11" i="36" s="1"/>
  <c r="K43" i="37"/>
  <c r="M43" i="37"/>
  <c r="M11" i="36"/>
  <c r="N11" i="36" s="1"/>
  <c r="K43" i="36"/>
  <c r="O76" i="37"/>
  <c r="O11" i="36"/>
  <c r="P11" i="36" s="1"/>
  <c r="O43" i="36"/>
  <c r="O76" i="36"/>
  <c r="O11" i="37"/>
  <c r="P11" i="37" s="1"/>
  <c r="C16" i="37"/>
  <c r="D16" i="37" s="1"/>
  <c r="E16" i="37"/>
  <c r="F16" i="37" s="1"/>
  <c r="G16" i="37"/>
  <c r="H16" i="37" s="1"/>
  <c r="G16" i="36"/>
  <c r="H16" i="36" s="1"/>
  <c r="O48" i="36"/>
  <c r="O16" i="37"/>
  <c r="P16" i="37" s="1"/>
  <c r="O48" i="37"/>
  <c r="O81" i="36"/>
  <c r="O16" i="36"/>
  <c r="P16" i="36" s="1"/>
  <c r="O81" i="37"/>
  <c r="O21" i="36"/>
  <c r="P21" i="36" s="1"/>
  <c r="O21" i="37"/>
  <c r="P21" i="37" s="1"/>
  <c r="O53" i="36"/>
  <c r="O53" i="37"/>
  <c r="O26" i="36"/>
  <c r="P26" i="36" s="1"/>
  <c r="O26" i="37"/>
  <c r="P26" i="37" s="1"/>
  <c r="O58" i="36"/>
  <c r="O58" i="37"/>
  <c r="K96" i="36"/>
  <c r="M96" i="36"/>
  <c r="C100" i="36"/>
  <c r="O31" i="37"/>
  <c r="P31" i="37" s="1"/>
  <c r="O96" i="36"/>
  <c r="O31" i="36"/>
  <c r="P31" i="36" s="1"/>
  <c r="C68" i="36"/>
  <c r="C35" i="37"/>
  <c r="D35" i="37" s="1"/>
  <c r="C68" i="37"/>
  <c r="C35" i="36"/>
  <c r="D35" i="36" s="1"/>
  <c r="E68" i="36"/>
  <c r="E35" i="36"/>
  <c r="F35" i="36" s="1"/>
  <c r="E68" i="37"/>
  <c r="E35" i="37"/>
  <c r="F35" i="37" s="1"/>
  <c r="E100" i="36"/>
  <c r="C84" i="2"/>
  <c r="E84" i="2"/>
  <c r="C64" i="2"/>
  <c r="G64" i="2"/>
  <c r="E64" i="2"/>
  <c r="I64" i="2"/>
  <c r="K64" i="2"/>
  <c r="M64" i="2"/>
  <c r="O64" i="2"/>
  <c r="C68" i="2"/>
  <c r="K68" i="2"/>
  <c r="I68" i="2"/>
  <c r="O68" i="2"/>
  <c r="E72" i="2"/>
  <c r="C72" i="2"/>
  <c r="G72" i="2"/>
  <c r="K72" i="2"/>
  <c r="M72" i="2"/>
  <c r="O72" i="2"/>
  <c r="C76" i="2"/>
  <c r="G76" i="2"/>
  <c r="E76" i="2"/>
  <c r="K76" i="2"/>
  <c r="I76" i="2"/>
  <c r="M76" i="2"/>
  <c r="C80" i="2"/>
  <c r="O76" i="2"/>
  <c r="G80" i="2"/>
  <c r="E80" i="2"/>
  <c r="I80" i="2"/>
  <c r="K80" i="2"/>
  <c r="M80" i="2"/>
  <c r="O80" i="2"/>
  <c r="C37" i="2"/>
  <c r="E37" i="2"/>
  <c r="G37" i="2"/>
  <c r="I37" i="2"/>
  <c r="K37" i="2"/>
  <c r="M37" i="2"/>
  <c r="O37" i="2"/>
  <c r="C41" i="2"/>
  <c r="I41" i="2"/>
  <c r="K41" i="2"/>
  <c r="C45" i="2"/>
  <c r="O41" i="2"/>
  <c r="E45" i="2"/>
  <c r="K45" i="2"/>
  <c r="G45" i="2"/>
  <c r="O45" i="2"/>
  <c r="M45" i="2"/>
  <c r="C49" i="2"/>
  <c r="I49" i="2"/>
  <c r="E49" i="2"/>
  <c r="G49" i="2"/>
  <c r="K49" i="2"/>
  <c r="M49" i="2"/>
  <c r="O49" i="2"/>
  <c r="E53" i="2"/>
  <c r="C53" i="2"/>
  <c r="G53" i="2"/>
  <c r="I53" i="2"/>
  <c r="K53" i="2"/>
  <c r="M53" i="2"/>
  <c r="O53" i="2"/>
  <c r="G18" i="2"/>
  <c r="H18" i="2" s="1"/>
  <c r="C26" i="2"/>
  <c r="D26" i="2" s="1"/>
  <c r="C18" i="2"/>
  <c r="D18" i="2" s="1"/>
  <c r="E26" i="2"/>
  <c r="F26" i="2" s="1"/>
  <c r="G22" i="2"/>
  <c r="H22" i="2" s="1"/>
  <c r="I22" i="2"/>
  <c r="J22" i="2" s="1"/>
  <c r="C30" i="2"/>
  <c r="D30" i="2" s="1"/>
  <c r="G26" i="2"/>
  <c r="H26" i="2" s="1"/>
  <c r="E30" i="2"/>
  <c r="F30" i="2" s="1"/>
  <c r="E18" i="2"/>
  <c r="F18" i="2" s="1"/>
  <c r="C22" i="2"/>
  <c r="D22" i="2" s="1"/>
  <c r="E22" i="2"/>
  <c r="F22" i="2" s="1"/>
  <c r="K26" i="2"/>
  <c r="J26" i="2"/>
  <c r="M22" i="2"/>
  <c r="I18" i="2"/>
  <c r="J18" i="2" s="1"/>
  <c r="M18" i="2"/>
  <c r="K22" i="2"/>
  <c r="M26" i="2"/>
  <c r="K18" i="2"/>
  <c r="O22" i="2"/>
  <c r="P22" i="2" s="1"/>
  <c r="O18" i="2"/>
  <c r="P18" i="2" s="1"/>
  <c r="O26" i="2"/>
  <c r="P26" i="2" s="1"/>
  <c r="C14" i="2"/>
  <c r="D14" i="2" s="1"/>
  <c r="G14" i="2"/>
  <c r="H14" i="2" s="1"/>
  <c r="E14" i="2"/>
  <c r="F14" i="2" s="1"/>
  <c r="I14" i="2"/>
  <c r="J14" i="2" s="1"/>
  <c r="N14" i="2"/>
  <c r="O14" i="2"/>
  <c r="P14" i="2" s="1"/>
  <c r="O10" i="2"/>
  <c r="P10" i="2" s="1"/>
  <c r="D10" i="2"/>
  <c r="G10" i="2"/>
  <c r="H10" i="2" s="1"/>
  <c r="I10" i="2"/>
  <c r="J10" i="2" s="1"/>
  <c r="E10" i="2"/>
  <c r="F10" i="2" s="1"/>
  <c r="E45" i="37" l="1"/>
  <c r="C13" i="37"/>
  <c r="C78" i="36"/>
  <c r="E45" i="36"/>
  <c r="C13" i="36"/>
  <c r="E13" i="36"/>
  <c r="C78" i="37"/>
  <c r="E13" i="37"/>
  <c r="C45" i="37"/>
  <c r="E78" i="36"/>
  <c r="G45" i="36"/>
  <c r="I45" i="36"/>
  <c r="C45" i="36"/>
  <c r="G45" i="37"/>
  <c r="G13" i="37"/>
  <c r="I78" i="37"/>
  <c r="I13" i="36"/>
  <c r="I45" i="37"/>
  <c r="K78" i="36"/>
  <c r="K78" i="37"/>
  <c r="K45" i="37"/>
  <c r="K45" i="36"/>
  <c r="K13" i="37"/>
  <c r="K13" i="36"/>
  <c r="M45" i="37"/>
  <c r="M78" i="36"/>
  <c r="O45" i="37"/>
  <c r="M13" i="37"/>
  <c r="M13" i="36"/>
  <c r="M78" i="37"/>
  <c r="C50" i="37"/>
  <c r="O45" i="36"/>
  <c r="O13" i="36"/>
  <c r="O78" i="37"/>
  <c r="O13" i="37"/>
  <c r="O78" i="36"/>
  <c r="C18" i="36"/>
  <c r="C18" i="37"/>
  <c r="C83" i="36"/>
  <c r="C50" i="36"/>
  <c r="C83" i="37"/>
  <c r="E18" i="36"/>
  <c r="E18" i="37"/>
  <c r="E83" i="36"/>
  <c r="G50" i="36"/>
  <c r="G18" i="37"/>
  <c r="I50" i="37"/>
  <c r="I18" i="37"/>
  <c r="G18" i="36"/>
  <c r="G83" i="36"/>
  <c r="I50" i="36"/>
  <c r="I18" i="36"/>
  <c r="I83" i="37"/>
  <c r="I83" i="36"/>
  <c r="M50" i="37"/>
  <c r="K50" i="37"/>
  <c r="K83" i="37"/>
  <c r="M83" i="37"/>
  <c r="K50" i="36"/>
  <c r="M18" i="37"/>
  <c r="O83" i="37"/>
  <c r="O50" i="37"/>
  <c r="O83" i="36"/>
  <c r="O18" i="36"/>
  <c r="O18" i="37"/>
  <c r="C23" i="37"/>
  <c r="C88" i="36"/>
  <c r="C55" i="37"/>
  <c r="O50" i="36"/>
  <c r="G23" i="37"/>
  <c r="E88" i="37"/>
  <c r="E88" i="36"/>
  <c r="E55" i="36"/>
  <c r="C88" i="37"/>
  <c r="E23" i="37"/>
  <c r="G88" i="36"/>
  <c r="I23" i="37"/>
  <c r="I55" i="37"/>
  <c r="I88" i="36"/>
  <c r="O55" i="36"/>
  <c r="K23" i="37"/>
  <c r="K55" i="36"/>
  <c r="K88" i="36"/>
  <c r="K55" i="37"/>
  <c r="M55" i="36"/>
  <c r="M88" i="36"/>
  <c r="M55" i="37"/>
  <c r="M23" i="37"/>
  <c r="O88" i="36"/>
  <c r="O23" i="36"/>
  <c r="O23" i="37"/>
  <c r="O55" i="37"/>
  <c r="C93" i="36"/>
  <c r="C60" i="36"/>
  <c r="C28" i="37"/>
  <c r="C60" i="37"/>
  <c r="E28" i="37"/>
  <c r="E60" i="36"/>
  <c r="E60" i="37"/>
  <c r="G60" i="37"/>
  <c r="E93" i="36"/>
  <c r="G28" i="37"/>
  <c r="G60" i="36"/>
  <c r="G93" i="36"/>
  <c r="M60" i="36"/>
  <c r="I60" i="37"/>
  <c r="I93" i="36"/>
  <c r="I60" i="36"/>
  <c r="M28" i="37"/>
  <c r="K60" i="36"/>
  <c r="K28" i="37"/>
  <c r="K60" i="37"/>
  <c r="K93" i="36"/>
  <c r="M60" i="37"/>
  <c r="M93" i="36"/>
  <c r="O28" i="36"/>
  <c r="O60" i="37"/>
  <c r="O28" i="37"/>
  <c r="O93" i="36"/>
  <c r="O60" i="36"/>
  <c r="C33" i="37"/>
  <c r="C33" i="36"/>
  <c r="C65" i="37"/>
  <c r="C98" i="36"/>
  <c r="C65" i="36"/>
  <c r="E98" i="36"/>
  <c r="E65" i="36"/>
  <c r="G65" i="37"/>
  <c r="E33" i="37"/>
  <c r="E33" i="36"/>
  <c r="E65" i="37"/>
  <c r="I33" i="36"/>
  <c r="G65" i="36"/>
  <c r="G33" i="37"/>
  <c r="G33" i="36"/>
  <c r="G98" i="36"/>
  <c r="I65" i="36"/>
  <c r="I65" i="37"/>
  <c r="I98" i="36"/>
  <c r="I33" i="37"/>
  <c r="K33" i="37"/>
  <c r="K98" i="36"/>
  <c r="K65" i="36"/>
  <c r="K33" i="36"/>
  <c r="K65" i="37"/>
  <c r="M33" i="36"/>
  <c r="C37" i="36"/>
  <c r="M33" i="37"/>
  <c r="M98" i="36"/>
  <c r="M65" i="37"/>
  <c r="M65" i="36"/>
  <c r="O98" i="36"/>
  <c r="O65" i="36"/>
  <c r="O65" i="37"/>
  <c r="O33" i="37"/>
  <c r="O33" i="36"/>
  <c r="C70" i="37"/>
  <c r="C70" i="36"/>
  <c r="C37" i="37"/>
  <c r="C102" i="36"/>
  <c r="E37" i="37"/>
  <c r="E70" i="36"/>
  <c r="E70" i="37"/>
  <c r="E102" i="36"/>
  <c r="E37" i="36"/>
  <c r="L11" i="36"/>
  <c r="E44" i="37"/>
  <c r="C77" i="36"/>
  <c r="E44" i="36"/>
  <c r="E12" i="36"/>
  <c r="C44" i="37"/>
  <c r="C12" i="37"/>
  <c r="C77" i="37"/>
  <c r="C12" i="36"/>
  <c r="C44" i="36"/>
  <c r="E12" i="37"/>
  <c r="G12" i="37"/>
  <c r="G44" i="37"/>
  <c r="G44" i="36"/>
  <c r="I12" i="36"/>
  <c r="K44" i="36"/>
  <c r="I44" i="36"/>
  <c r="I44" i="37"/>
  <c r="K12" i="36"/>
  <c r="K12" i="37"/>
  <c r="K44" i="37"/>
  <c r="M44" i="37"/>
  <c r="M12" i="37"/>
  <c r="M12" i="36"/>
  <c r="O77" i="36"/>
  <c r="O44" i="36"/>
  <c r="O12" i="36"/>
  <c r="O77" i="37"/>
  <c r="O12" i="37"/>
  <c r="C17" i="37"/>
  <c r="E17" i="37"/>
  <c r="G17" i="37"/>
  <c r="O49" i="36"/>
  <c r="O49" i="37"/>
  <c r="O17" i="36"/>
  <c r="O17" i="37"/>
  <c r="O82" i="36"/>
  <c r="O82" i="37"/>
  <c r="O22" i="37"/>
  <c r="O54" i="36"/>
  <c r="O54" i="37"/>
  <c r="O22" i="36"/>
  <c r="O27" i="37"/>
  <c r="O59" i="37"/>
  <c r="O59" i="36"/>
  <c r="O27" i="36"/>
  <c r="K97" i="36"/>
  <c r="M97" i="36"/>
  <c r="O97" i="36"/>
  <c r="O32" i="37"/>
  <c r="O32" i="36"/>
  <c r="E36" i="37"/>
  <c r="C101" i="36"/>
  <c r="C69" i="37"/>
  <c r="C36" i="37"/>
  <c r="C36" i="36"/>
  <c r="C69" i="36"/>
  <c r="E36" i="36"/>
  <c r="E101" i="36"/>
  <c r="E69" i="36"/>
  <c r="E69" i="37"/>
  <c r="C85" i="2"/>
  <c r="C66" i="2"/>
  <c r="G66" i="2"/>
  <c r="E66" i="2"/>
  <c r="I66" i="2"/>
  <c r="K66" i="2"/>
  <c r="M66" i="2"/>
  <c r="C70" i="2"/>
  <c r="O70" i="2"/>
  <c r="C74" i="2"/>
  <c r="O74" i="2"/>
  <c r="C78" i="2"/>
  <c r="C82" i="2"/>
  <c r="C65" i="2"/>
  <c r="G65" i="2"/>
  <c r="E65" i="2"/>
  <c r="I65" i="2"/>
  <c r="K65" i="2"/>
  <c r="M65" i="2"/>
  <c r="C69" i="2"/>
  <c r="O65" i="2"/>
  <c r="I69" i="2"/>
  <c r="G69" i="2"/>
  <c r="M69" i="2"/>
  <c r="K69" i="2"/>
  <c r="O69" i="2"/>
  <c r="C73" i="2"/>
  <c r="G73" i="2"/>
  <c r="K73" i="2"/>
  <c r="I73" i="2"/>
  <c r="O73" i="2"/>
  <c r="M73" i="2"/>
  <c r="C77" i="2"/>
  <c r="C81" i="2"/>
  <c r="O77" i="2"/>
  <c r="E39" i="2"/>
  <c r="C39" i="2"/>
  <c r="G39" i="2"/>
  <c r="I39" i="2"/>
  <c r="K39" i="2"/>
  <c r="M39" i="2"/>
  <c r="C43" i="2"/>
  <c r="O43" i="2"/>
  <c r="C47" i="2"/>
  <c r="C51" i="2"/>
  <c r="O47" i="2"/>
  <c r="O51" i="2"/>
  <c r="C55" i="2"/>
  <c r="O55" i="2"/>
  <c r="C38" i="2"/>
  <c r="E38" i="2"/>
  <c r="I38" i="2"/>
  <c r="G38" i="2"/>
  <c r="K38" i="2"/>
  <c r="O38" i="2"/>
  <c r="M38" i="2"/>
  <c r="C42" i="2"/>
  <c r="I42" i="2"/>
  <c r="G42" i="2"/>
  <c r="M42" i="2"/>
  <c r="K42" i="2"/>
  <c r="O42" i="2"/>
  <c r="C46" i="2"/>
  <c r="G46" i="2"/>
  <c r="M46" i="2"/>
  <c r="I46" i="2"/>
  <c r="K46" i="2"/>
  <c r="C50" i="2"/>
  <c r="O46" i="2"/>
  <c r="G50" i="2"/>
  <c r="I50" i="2"/>
  <c r="K50" i="2"/>
  <c r="M50" i="2"/>
  <c r="O50" i="2"/>
  <c r="C54" i="2"/>
  <c r="G54" i="2"/>
  <c r="I54" i="2"/>
  <c r="O54" i="2"/>
  <c r="G11" i="2"/>
  <c r="N18" i="2"/>
  <c r="N26" i="2"/>
  <c r="N22" i="2"/>
  <c r="I11" i="2"/>
  <c r="C28" i="2"/>
  <c r="C20" i="2"/>
  <c r="C24" i="2"/>
  <c r="O24" i="2"/>
  <c r="C32" i="2"/>
  <c r="O20" i="2"/>
  <c r="O28" i="2"/>
  <c r="M12" i="2"/>
  <c r="L18" i="2"/>
  <c r="C23" i="2"/>
  <c r="C19" i="2"/>
  <c r="E31" i="2"/>
  <c r="I27" i="2"/>
  <c r="G23" i="2"/>
  <c r="C31" i="2"/>
  <c r="C27" i="2"/>
  <c r="G27" i="2"/>
  <c r="G19" i="2"/>
  <c r="I19" i="2"/>
  <c r="I23" i="2"/>
  <c r="K19" i="2"/>
  <c r="K23" i="2"/>
  <c r="O27" i="2"/>
  <c r="M23" i="2"/>
  <c r="M19" i="2"/>
  <c r="O19" i="2"/>
  <c r="O23" i="2"/>
  <c r="M11" i="2"/>
  <c r="L22" i="2"/>
  <c r="O11" i="2"/>
  <c r="L26" i="2"/>
  <c r="C16" i="2"/>
  <c r="E16" i="2"/>
  <c r="G16" i="2"/>
  <c r="I16" i="2"/>
  <c r="K16" i="2"/>
  <c r="O16" i="2"/>
  <c r="L10" i="2"/>
  <c r="E11" i="2"/>
  <c r="C15" i="2"/>
  <c r="E15" i="2"/>
  <c r="G15" i="2"/>
  <c r="I15" i="2"/>
  <c r="O15" i="2"/>
  <c r="M15" i="2"/>
  <c r="L14" i="2"/>
  <c r="O12" i="2"/>
  <c r="I12" i="2"/>
  <c r="C12" i="2"/>
  <c r="E12" i="2"/>
  <c r="G12" i="2"/>
  <c r="I84" i="37" l="1"/>
  <c r="C12" i="35"/>
  <c r="C10" i="35"/>
  <c r="D10" i="35" s="1"/>
  <c r="C13" i="35"/>
  <c r="E9" i="35"/>
  <c r="F9" i="35" s="1"/>
  <c r="C41" i="35"/>
  <c r="C73" i="35"/>
  <c r="E73" i="35" l="1"/>
  <c r="C74" i="35"/>
  <c r="C75" i="35"/>
  <c r="K84" i="37"/>
  <c r="J84" i="37"/>
  <c r="I88" i="37"/>
  <c r="D73" i="35"/>
  <c r="C42" i="35"/>
  <c r="C43" i="35"/>
  <c r="C45" i="35"/>
  <c r="D41" i="35"/>
  <c r="E41" i="35"/>
  <c r="E13" i="35"/>
  <c r="E12" i="35"/>
  <c r="G9" i="35"/>
  <c r="E10" i="35"/>
  <c r="F10" i="35" s="1"/>
  <c r="M84" i="37" l="1"/>
  <c r="L84" i="37"/>
  <c r="K88" i="37"/>
  <c r="I9" i="35"/>
  <c r="F41" i="35"/>
  <c r="E43" i="35"/>
  <c r="E45" i="35"/>
  <c r="E42" i="35"/>
  <c r="G41" i="35"/>
  <c r="G73" i="35"/>
  <c r="G76" i="35" s="1"/>
  <c r="O84" i="37" l="1"/>
  <c r="N84" i="37"/>
  <c r="M88" i="37"/>
  <c r="I73" i="35"/>
  <c r="I76" i="35" s="1"/>
  <c r="H41" i="35"/>
  <c r="G43" i="35"/>
  <c r="G45" i="35"/>
  <c r="G42" i="35"/>
  <c r="I41" i="35"/>
  <c r="I13" i="35"/>
  <c r="I12" i="35"/>
  <c r="K9" i="35"/>
  <c r="C89" i="37" l="1"/>
  <c r="P84" i="37"/>
  <c r="O88" i="37"/>
  <c r="K12" i="35"/>
  <c r="K13" i="35"/>
  <c r="M9" i="35"/>
  <c r="I45" i="35"/>
  <c r="J41" i="35"/>
  <c r="I43" i="35"/>
  <c r="I42" i="35"/>
  <c r="K41" i="35"/>
  <c r="I74" i="35"/>
  <c r="K73" i="35"/>
  <c r="K76" i="35" s="1"/>
  <c r="E89" i="37" l="1"/>
  <c r="D89" i="37"/>
  <c r="C93" i="37"/>
  <c r="L41" i="35"/>
  <c r="K45" i="35"/>
  <c r="M41" i="35"/>
  <c r="K74" i="35"/>
  <c r="M73" i="35"/>
  <c r="M76" i="35" s="1"/>
  <c r="M12" i="35"/>
  <c r="M13" i="35"/>
  <c r="O9" i="35"/>
  <c r="G89" i="37" l="1"/>
  <c r="F89" i="37"/>
  <c r="E93" i="37"/>
  <c r="O10" i="35"/>
  <c r="P10" i="35" s="1"/>
  <c r="O12" i="35"/>
  <c r="C14" i="35"/>
  <c r="O13" i="35"/>
  <c r="M74" i="35"/>
  <c r="O73" i="35"/>
  <c r="O41" i="35"/>
  <c r="C16" i="35" l="1"/>
  <c r="D16" i="35" s="1"/>
  <c r="C17" i="35"/>
  <c r="I89" i="37"/>
  <c r="H89" i="37"/>
  <c r="G93" i="37"/>
  <c r="C18" i="35"/>
  <c r="D14" i="35"/>
  <c r="E14" i="35"/>
  <c r="O77" i="35"/>
  <c r="O74" i="35"/>
  <c r="P73" i="35"/>
  <c r="O76" i="35"/>
  <c r="C78" i="35"/>
  <c r="P41" i="35"/>
  <c r="O42" i="35"/>
  <c r="O43" i="35"/>
  <c r="O44" i="35" s="1"/>
  <c r="O45" i="35"/>
  <c r="C46" i="35"/>
  <c r="C47" i="35" l="1"/>
  <c r="C48" i="35"/>
  <c r="C50" i="35"/>
  <c r="E16" i="35"/>
  <c r="F16" i="35" s="1"/>
  <c r="E17" i="35"/>
  <c r="K89" i="37"/>
  <c r="J89" i="37"/>
  <c r="I93" i="37"/>
  <c r="D46" i="35"/>
  <c r="E46" i="35"/>
  <c r="C82" i="35"/>
  <c r="C81" i="35"/>
  <c r="C79" i="35"/>
  <c r="E78" i="35"/>
  <c r="E18" i="35"/>
  <c r="G14" i="35"/>
  <c r="M89" i="37" l="1"/>
  <c r="L89" i="37"/>
  <c r="K93" i="37"/>
  <c r="G78" i="35"/>
  <c r="G18" i="35"/>
  <c r="I14" i="35"/>
  <c r="G46" i="35"/>
  <c r="G47" i="35" l="1"/>
  <c r="G48" i="35"/>
  <c r="O89" i="37"/>
  <c r="N89" i="37"/>
  <c r="M93" i="37"/>
  <c r="I46" i="35"/>
  <c r="K14" i="35"/>
  <c r="G81" i="35"/>
  <c r="I78" i="35"/>
  <c r="I47" i="35" l="1"/>
  <c r="I48" i="35"/>
  <c r="K15" i="35"/>
  <c r="L15" i="35" s="1"/>
  <c r="K16" i="35"/>
  <c r="L16" i="35" s="1"/>
  <c r="C94" i="37"/>
  <c r="P89" i="37"/>
  <c r="O93" i="37"/>
  <c r="M14" i="35"/>
  <c r="I79" i="35"/>
  <c r="I81" i="35"/>
  <c r="K78" i="35"/>
  <c r="K46" i="35"/>
  <c r="K47" i="35" l="1"/>
  <c r="K48" i="35"/>
  <c r="M15" i="35"/>
  <c r="N15" i="35" s="1"/>
  <c r="M16" i="35"/>
  <c r="N16" i="35" s="1"/>
  <c r="E94" i="37"/>
  <c r="D94" i="37"/>
  <c r="C98" i="37"/>
  <c r="K81" i="35"/>
  <c r="M78" i="35"/>
  <c r="M46" i="35"/>
  <c r="O14" i="35"/>
  <c r="O15" i="35" l="1"/>
  <c r="P15" i="35" s="1"/>
  <c r="O16" i="35"/>
  <c r="P16" i="35" s="1"/>
  <c r="O17" i="35"/>
  <c r="G94" i="37"/>
  <c r="F94" i="37"/>
  <c r="E98" i="37"/>
  <c r="O46" i="35"/>
  <c r="O18" i="35"/>
  <c r="P14" i="35"/>
  <c r="C19" i="35"/>
  <c r="M81" i="35"/>
  <c r="O78" i="35"/>
  <c r="O80" i="35" s="1"/>
  <c r="C20" i="35" l="1"/>
  <c r="D20" i="35" s="1"/>
  <c r="C22" i="35"/>
  <c r="C23" i="35"/>
  <c r="O47" i="35"/>
  <c r="O48" i="35"/>
  <c r="O49" i="35"/>
  <c r="I94" i="37"/>
  <c r="K94" i="37" s="1"/>
  <c r="H94" i="37"/>
  <c r="G98" i="37"/>
  <c r="E19" i="35"/>
  <c r="E20" i="35" s="1"/>
  <c r="F20" i="35" s="1"/>
  <c r="O82" i="35"/>
  <c r="O79" i="35"/>
  <c r="C83" i="35"/>
  <c r="O50" i="35"/>
  <c r="P46" i="35"/>
  <c r="C51" i="35"/>
  <c r="M94" i="37" l="1"/>
  <c r="O94" i="37" s="1"/>
  <c r="K96" i="37"/>
  <c r="K97" i="37"/>
  <c r="K98" i="37"/>
  <c r="C52" i="35"/>
  <c r="C54" i="35"/>
  <c r="C55" i="35"/>
  <c r="C84" i="35"/>
  <c r="C86" i="35"/>
  <c r="J94" i="37"/>
  <c r="I98" i="37"/>
  <c r="E51" i="35"/>
  <c r="C87" i="35"/>
  <c r="E83" i="35"/>
  <c r="E84" i="35" s="1"/>
  <c r="F19" i="35"/>
  <c r="G19" i="35"/>
  <c r="G20" i="35" s="1"/>
  <c r="H20" i="35" s="1"/>
  <c r="G22" i="35" l="1"/>
  <c r="I19" i="35"/>
  <c r="I20" i="35" s="1"/>
  <c r="J20" i="35" s="1"/>
  <c r="F83" i="35"/>
  <c r="G83" i="35"/>
  <c r="G84" i="35" s="1"/>
  <c r="E52" i="35"/>
  <c r="G51" i="35"/>
  <c r="G52" i="35" s="1"/>
  <c r="H83" i="35" l="1"/>
  <c r="I83" i="35"/>
  <c r="I84" i="35" s="1"/>
  <c r="G54" i="35"/>
  <c r="I51" i="35"/>
  <c r="I22" i="35"/>
  <c r="J19" i="35"/>
  <c r="K19" i="35"/>
  <c r="K20" i="35" s="1"/>
  <c r="L20" i="35" s="1"/>
  <c r="C99" i="37" l="1"/>
  <c r="O96" i="37"/>
  <c r="O98" i="37"/>
  <c r="O97" i="37"/>
  <c r="I54" i="35"/>
  <c r="K51" i="35"/>
  <c r="K52" i="35" s="1"/>
  <c r="L19" i="35"/>
  <c r="K22" i="35"/>
  <c r="M19" i="35"/>
  <c r="M20" i="35" s="1"/>
  <c r="N20" i="35" s="1"/>
  <c r="J83" i="35"/>
  <c r="K83" i="35"/>
  <c r="K84" i="35" s="1"/>
  <c r="E99" i="37" l="1"/>
  <c r="D99" i="37"/>
  <c r="C100" i="37"/>
  <c r="C101" i="37"/>
  <c r="C102" i="37"/>
  <c r="M83" i="35"/>
  <c r="M84" i="35" s="1"/>
  <c r="M22" i="35"/>
  <c r="N19" i="35"/>
  <c r="O19" i="35"/>
  <c r="K54" i="35"/>
  <c r="M51" i="35"/>
  <c r="M52" i="35" s="1"/>
  <c r="O20" i="35" l="1"/>
  <c r="P20" i="35" s="1"/>
  <c r="O21" i="35"/>
  <c r="P21" i="35" s="1"/>
  <c r="F99" i="37"/>
  <c r="E100" i="37"/>
  <c r="E102" i="37"/>
  <c r="E101" i="37"/>
  <c r="N83" i="35"/>
  <c r="O83" i="35"/>
  <c r="O84" i="35" s="1"/>
  <c r="P19" i="35"/>
  <c r="O22" i="35"/>
  <c r="O23" i="35"/>
  <c r="C24" i="35"/>
  <c r="M54" i="35"/>
  <c r="O51" i="35"/>
  <c r="O52" i="35" l="1"/>
  <c r="O53" i="35"/>
  <c r="C25" i="35"/>
  <c r="D25" i="35" s="1"/>
  <c r="C27" i="35"/>
  <c r="C28" i="35"/>
  <c r="O54" i="35"/>
  <c r="O55" i="35"/>
  <c r="C56" i="35"/>
  <c r="D24" i="35"/>
  <c r="E24" i="35"/>
  <c r="E25" i="35" s="1"/>
  <c r="F25" i="35" s="1"/>
  <c r="O86" i="35"/>
  <c r="C88" i="35"/>
  <c r="C89" i="35" l="1"/>
  <c r="C91" i="35"/>
  <c r="C57" i="35"/>
  <c r="C60" i="35"/>
  <c r="C59" i="35"/>
  <c r="E56" i="35"/>
  <c r="E57" i="35" s="1"/>
  <c r="D56" i="35"/>
  <c r="C92" i="35"/>
  <c r="D88" i="35"/>
  <c r="E88" i="35"/>
  <c r="G24" i="35"/>
  <c r="G25" i="35" s="1"/>
  <c r="H25" i="35" s="1"/>
  <c r="F24" i="35"/>
  <c r="F88" i="35" l="1"/>
  <c r="G88" i="35"/>
  <c r="G56" i="35"/>
  <c r="G57" i="35" s="1"/>
  <c r="G27" i="35"/>
  <c r="I24" i="35"/>
  <c r="I27" i="35" l="1"/>
  <c r="K24" i="35"/>
  <c r="K25" i="35" s="1"/>
  <c r="L25" i="35" s="1"/>
  <c r="H88" i="35"/>
  <c r="I88" i="35"/>
  <c r="G59" i="35"/>
  <c r="H56" i="35"/>
  <c r="I56" i="35"/>
  <c r="I57" i="35" s="1"/>
  <c r="J56" i="35" l="1"/>
  <c r="K56" i="35"/>
  <c r="K57" i="35" s="1"/>
  <c r="I59" i="35"/>
  <c r="J88" i="35"/>
  <c r="K88" i="35"/>
  <c r="K27" i="35"/>
  <c r="M24" i="35"/>
  <c r="M25" i="35" s="1"/>
  <c r="N25" i="35" s="1"/>
  <c r="L24" i="35"/>
  <c r="N24" i="35" l="1"/>
  <c r="O24" i="35"/>
  <c r="M27" i="35"/>
  <c r="M88" i="35"/>
  <c r="L88" i="35"/>
  <c r="K59" i="35"/>
  <c r="L56" i="35"/>
  <c r="M56" i="35"/>
  <c r="M57" i="35" s="1"/>
  <c r="O25" i="35" l="1"/>
  <c r="P25" i="35" s="1"/>
  <c r="O26" i="35"/>
  <c r="P26" i="35" s="1"/>
  <c r="M59" i="35"/>
  <c r="N56" i="35"/>
  <c r="O56" i="35"/>
  <c r="N88" i="35"/>
  <c r="O88" i="35"/>
  <c r="O27" i="35"/>
  <c r="O28" i="35"/>
  <c r="P24" i="35"/>
  <c r="C29" i="35"/>
  <c r="C30" i="35" l="1"/>
  <c r="D30" i="35" s="1"/>
  <c r="C32" i="35"/>
  <c r="C33" i="35"/>
  <c r="O57" i="35"/>
  <c r="O58" i="35"/>
  <c r="D29" i="35"/>
  <c r="E29" i="35"/>
  <c r="P88" i="35"/>
  <c r="C93" i="35"/>
  <c r="C94" i="35" s="1"/>
  <c r="O59" i="35"/>
  <c r="O60" i="35"/>
  <c r="P56" i="35"/>
  <c r="C61" i="35"/>
  <c r="C62" i="35" l="1"/>
  <c r="C64" i="35"/>
  <c r="C65" i="35"/>
  <c r="D93" i="35"/>
  <c r="E93" i="35"/>
  <c r="G93" i="35" s="1"/>
  <c r="E61" i="35"/>
  <c r="E62" i="35" s="1"/>
  <c r="D61" i="35"/>
  <c r="G29" i="35"/>
  <c r="F29" i="35"/>
  <c r="G61" i="35" l="1"/>
  <c r="G62" i="35" s="1"/>
  <c r="F93" i="35"/>
  <c r="H29" i="35"/>
  <c r="I29" i="35"/>
  <c r="I93" i="35" l="1"/>
  <c r="G64" i="35"/>
  <c r="H61" i="35"/>
  <c r="I61" i="35"/>
  <c r="I62" i="35" s="1"/>
  <c r="J29" i="35"/>
  <c r="K29" i="35"/>
  <c r="K33" i="35" l="1"/>
  <c r="K32" i="35"/>
  <c r="L29" i="35"/>
  <c r="M29" i="35"/>
  <c r="K31" i="35"/>
  <c r="L31" i="35" s="1"/>
  <c r="I64" i="35"/>
  <c r="J61" i="35"/>
  <c r="K61" i="35"/>
  <c r="K62" i="35" s="1"/>
  <c r="J93" i="35"/>
  <c r="I97" i="35"/>
  <c r="I96" i="35"/>
  <c r="I95" i="35"/>
  <c r="K93" i="35"/>
  <c r="N29" i="35" l="1"/>
  <c r="O29" i="35"/>
  <c r="M32" i="35"/>
  <c r="M33" i="35"/>
  <c r="M31" i="35"/>
  <c r="N31" i="35" s="1"/>
  <c r="K96" i="35"/>
  <c r="M93" i="35"/>
  <c r="K97" i="35"/>
  <c r="L93" i="35"/>
  <c r="K95" i="35"/>
  <c r="L61" i="35"/>
  <c r="M61" i="35"/>
  <c r="M62" i="35" s="1"/>
  <c r="K64" i="35"/>
  <c r="N61" i="35" l="1"/>
  <c r="O61" i="35"/>
  <c r="O62" i="35" s="1"/>
  <c r="M64" i="35"/>
  <c r="M97" i="35"/>
  <c r="O93" i="35"/>
  <c r="M95" i="35"/>
  <c r="N93" i="35"/>
  <c r="M96" i="35"/>
  <c r="O33" i="35"/>
  <c r="O31" i="35"/>
  <c r="P31" i="35" s="1"/>
  <c r="C34" i="35"/>
  <c r="P29" i="35"/>
  <c r="O32" i="35"/>
  <c r="O97" i="35" l="1"/>
  <c r="O96" i="35"/>
  <c r="C98" i="35"/>
  <c r="O95" i="35"/>
  <c r="P93" i="35"/>
  <c r="O64" i="35"/>
  <c r="P61" i="35"/>
  <c r="C66" i="35"/>
  <c r="C37" i="35"/>
  <c r="E34" i="35"/>
  <c r="C35" i="35"/>
  <c r="D35" i="35" s="1"/>
  <c r="D34" i="35"/>
  <c r="C36" i="35"/>
  <c r="E35" i="35" l="1"/>
  <c r="F35" i="35" s="1"/>
  <c r="E36" i="35"/>
  <c r="F34" i="35"/>
  <c r="E37" i="35"/>
  <c r="C99" i="35"/>
  <c r="C100" i="35"/>
  <c r="D98" i="35"/>
  <c r="C101" i="35"/>
  <c r="E98" i="35"/>
  <c r="C67" i="35"/>
  <c r="C69" i="35"/>
  <c r="D66" i="35"/>
  <c r="C68" i="35"/>
  <c r="E66" i="35"/>
  <c r="F66" i="35" l="1"/>
  <c r="E69" i="35"/>
  <c r="E67" i="35"/>
  <c r="E68" i="35"/>
  <c r="E101" i="35"/>
  <c r="F98" i="35"/>
  <c r="E100" i="35"/>
  <c r="E99" i="35"/>
  <c r="C9" i="42" l="1"/>
  <c r="C11" i="42" s="1"/>
  <c r="D11" i="42" s="1"/>
  <c r="D72" i="42"/>
  <c r="I69" i="42" s="1"/>
  <c r="D39" i="42"/>
  <c r="C41" i="42" s="1"/>
  <c r="I5" i="42"/>
  <c r="A8" i="42"/>
  <c r="D41" i="42" l="1"/>
  <c r="C43" i="42"/>
  <c r="C45" i="42"/>
  <c r="E41" i="42"/>
  <c r="C44" i="42"/>
  <c r="D9" i="42"/>
  <c r="C13" i="42"/>
  <c r="C15" i="42" s="1"/>
  <c r="C17" i="42" s="1"/>
  <c r="A40" i="42"/>
  <c r="I36" i="42"/>
  <c r="E9" i="42"/>
  <c r="A73" i="42"/>
  <c r="C12" i="42"/>
  <c r="E45" i="42" l="1"/>
  <c r="E44" i="42"/>
  <c r="G41" i="42"/>
  <c r="E43" i="42"/>
  <c r="F41" i="42"/>
  <c r="C78" i="42"/>
  <c r="C77" i="42"/>
  <c r="C76" i="42"/>
  <c r="D74" i="42"/>
  <c r="E12" i="42"/>
  <c r="G9" i="42"/>
  <c r="E11" i="42"/>
  <c r="F11" i="42" s="1"/>
  <c r="F9" i="42"/>
  <c r="E13" i="42"/>
  <c r="G44" i="42" l="1"/>
  <c r="G43" i="42"/>
  <c r="H41" i="42"/>
  <c r="I41" i="42"/>
  <c r="G45" i="42"/>
  <c r="I9" i="42"/>
  <c r="K9" i="42" s="1"/>
  <c r="G13" i="42"/>
  <c r="G11" i="42"/>
  <c r="H11" i="42" s="1"/>
  <c r="G12" i="42"/>
  <c r="F74" i="42"/>
  <c r="G74" i="42"/>
  <c r="I74" i="42" s="1"/>
  <c r="K74" i="42" s="1"/>
  <c r="K13" i="42" l="1"/>
  <c r="K12" i="42"/>
  <c r="K11" i="42"/>
  <c r="L11" i="42" s="1"/>
  <c r="M9" i="42"/>
  <c r="K41" i="42"/>
  <c r="M41" i="42" s="1"/>
  <c r="I44" i="42"/>
  <c r="I43" i="42"/>
  <c r="J41" i="42"/>
  <c r="I45" i="42"/>
  <c r="M74" i="42"/>
  <c r="K78" i="42"/>
  <c r="N41" i="42" l="1"/>
  <c r="M43" i="42"/>
  <c r="M44" i="42"/>
  <c r="M45" i="42"/>
  <c r="K45" i="42"/>
  <c r="K44" i="42"/>
  <c r="O41" i="42"/>
  <c r="C46" i="42" s="1"/>
  <c r="L41" i="42"/>
  <c r="K43" i="42"/>
  <c r="O9" i="42"/>
  <c r="M11" i="42"/>
  <c r="N11" i="42" s="1"/>
  <c r="M13" i="42"/>
  <c r="M12" i="42"/>
  <c r="O74" i="42"/>
  <c r="M78" i="42"/>
  <c r="P41" i="42" l="1"/>
  <c r="O45" i="42"/>
  <c r="O44" i="42"/>
  <c r="O43" i="42"/>
  <c r="O42" i="42"/>
  <c r="O13" i="42"/>
  <c r="C14" i="42"/>
  <c r="O12" i="42"/>
  <c r="O11" i="42"/>
  <c r="P11" i="42" s="1"/>
  <c r="O77" i="42"/>
  <c r="C79" i="42"/>
  <c r="O76" i="42"/>
  <c r="O75" i="42"/>
  <c r="P74" i="42"/>
  <c r="O78" i="42"/>
  <c r="E46" i="42" l="1"/>
  <c r="G46" i="42" s="1"/>
  <c r="C50" i="42"/>
  <c r="D46" i="42"/>
  <c r="D79" i="42"/>
  <c r="E79" i="42"/>
  <c r="C83" i="42"/>
  <c r="E14" i="42"/>
  <c r="C16" i="42"/>
  <c r="D14" i="42"/>
  <c r="C18" i="42"/>
  <c r="G14" i="42" l="1"/>
  <c r="E18" i="42"/>
  <c r="E16" i="42"/>
  <c r="E83" i="42"/>
  <c r="G79" i="42"/>
  <c r="I46" i="42"/>
  <c r="I79" i="42" l="1"/>
  <c r="I50" i="42"/>
  <c r="K46" i="42"/>
  <c r="G18" i="42"/>
  <c r="I14" i="42"/>
  <c r="G16" i="42"/>
  <c r="H16" i="42" s="1"/>
  <c r="K14" i="42" l="1"/>
  <c r="I18" i="42"/>
  <c r="K50" i="42"/>
  <c r="M46" i="42"/>
  <c r="O46" i="42" s="1"/>
  <c r="K79" i="42"/>
  <c r="M79" i="42" l="1"/>
  <c r="P46" i="42"/>
  <c r="O48" i="42"/>
  <c r="O50" i="42"/>
  <c r="O49" i="42"/>
  <c r="O47" i="42"/>
  <c r="C51" i="42"/>
  <c r="E51" i="42" s="1"/>
  <c r="M14" i="42"/>
  <c r="O14" i="42" l="1"/>
  <c r="M18" i="42"/>
  <c r="O79" i="42"/>
  <c r="M83" i="42"/>
  <c r="O15" i="42"/>
  <c r="P14" i="42"/>
  <c r="C19" i="42"/>
  <c r="O18" i="42"/>
  <c r="O17" i="42"/>
  <c r="O16" i="42"/>
  <c r="P16" i="42" s="1"/>
  <c r="E55" i="42"/>
  <c r="G51" i="42"/>
  <c r="I51" i="42" s="1"/>
  <c r="O82" i="42" l="1"/>
  <c r="O81" i="42"/>
  <c r="O80" i="42"/>
  <c r="P79" i="42"/>
  <c r="O83" i="42"/>
  <c r="C84" i="42"/>
  <c r="D19" i="42"/>
  <c r="E19" i="42"/>
  <c r="C23" i="42"/>
  <c r="K51" i="42"/>
  <c r="C88" i="42" l="1"/>
  <c r="D84" i="42"/>
  <c r="E84" i="42"/>
  <c r="F19" i="42"/>
  <c r="G19" i="42"/>
  <c r="E23" i="42"/>
  <c r="K55" i="42"/>
  <c r="M51" i="42"/>
  <c r="F84" i="42" l="1"/>
  <c r="E88" i="42"/>
  <c r="G84" i="42"/>
  <c r="M55" i="42"/>
  <c r="O51" i="42"/>
  <c r="H19" i="42"/>
  <c r="I19" i="42"/>
  <c r="G23" i="42"/>
  <c r="I84" i="42" l="1"/>
  <c r="H84" i="42"/>
  <c r="G88" i="42"/>
  <c r="K19" i="42"/>
  <c r="J19" i="42"/>
  <c r="I23" i="42"/>
  <c r="P51" i="42"/>
  <c r="O54" i="42"/>
  <c r="O55" i="42"/>
  <c r="O52" i="42"/>
  <c r="O53" i="42"/>
  <c r="C56" i="42"/>
  <c r="K84" i="42" l="1"/>
  <c r="J84" i="42"/>
  <c r="D56" i="42"/>
  <c r="E56" i="42"/>
  <c r="C60" i="42"/>
  <c r="K23" i="42"/>
  <c r="L19" i="42"/>
  <c r="M19" i="42"/>
  <c r="K88" i="42" l="1"/>
  <c r="M84" i="42"/>
  <c r="F56" i="42"/>
  <c r="G56" i="42"/>
  <c r="E60" i="42"/>
  <c r="M23" i="42"/>
  <c r="O19" i="42"/>
  <c r="N19" i="42"/>
  <c r="M88" i="42" l="1"/>
  <c r="O84" i="42"/>
  <c r="P19" i="42"/>
  <c r="O21" i="42"/>
  <c r="P21" i="42" s="1"/>
  <c r="O20" i="42"/>
  <c r="O22" i="42"/>
  <c r="C24" i="42"/>
  <c r="O23" i="42"/>
  <c r="H56" i="42"/>
  <c r="G60" i="42"/>
  <c r="I56" i="42"/>
  <c r="P84" i="42" l="1"/>
  <c r="C89" i="42"/>
  <c r="O88" i="42"/>
  <c r="C28" i="42"/>
  <c r="D24" i="42"/>
  <c r="E24" i="42"/>
  <c r="K56" i="42"/>
  <c r="J56" i="42"/>
  <c r="I60" i="42"/>
  <c r="E89" i="42" l="1"/>
  <c r="C93" i="42"/>
  <c r="D89" i="42"/>
  <c r="K60" i="42"/>
  <c r="L56" i="42"/>
  <c r="M56" i="42"/>
  <c r="E28" i="42"/>
  <c r="F24" i="42"/>
  <c r="G24" i="42"/>
  <c r="G89" i="42" l="1"/>
  <c r="E93" i="42"/>
  <c r="M60" i="42"/>
  <c r="N56" i="42"/>
  <c r="O56" i="42"/>
  <c r="H24" i="42"/>
  <c r="G28" i="42"/>
  <c r="I24" i="42"/>
  <c r="I89" i="42" l="1"/>
  <c r="G93" i="42"/>
  <c r="O60" i="42"/>
  <c r="O58" i="42"/>
  <c r="O59" i="42"/>
  <c r="C61" i="42"/>
  <c r="O57" i="42"/>
  <c r="P56" i="42"/>
  <c r="J24" i="42"/>
  <c r="K24" i="42"/>
  <c r="K89" i="42" l="1"/>
  <c r="I93" i="42"/>
  <c r="D61" i="42"/>
  <c r="C65" i="42"/>
  <c r="E61" i="42"/>
  <c r="M24" i="42"/>
  <c r="L24" i="42"/>
  <c r="K28" i="42"/>
  <c r="K93" i="42" l="1"/>
  <c r="M89" i="42"/>
  <c r="F61" i="42"/>
  <c r="E65" i="42"/>
  <c r="G61" i="42"/>
  <c r="O24" i="42"/>
  <c r="M28" i="42"/>
  <c r="N24" i="42"/>
  <c r="M93" i="42" l="1"/>
  <c r="O89" i="42"/>
  <c r="O28" i="42"/>
  <c r="O27" i="42"/>
  <c r="C29" i="42"/>
  <c r="P24" i="42"/>
  <c r="O26" i="42"/>
  <c r="P26" i="42" s="1"/>
  <c r="O25" i="42"/>
  <c r="I61" i="42"/>
  <c r="G65" i="42"/>
  <c r="H61" i="42"/>
  <c r="P89" i="42" l="1"/>
  <c r="C94" i="42"/>
  <c r="O93" i="42"/>
  <c r="K61" i="42"/>
  <c r="I65" i="42"/>
  <c r="J61" i="42"/>
  <c r="E29" i="42"/>
  <c r="C33" i="42"/>
  <c r="D94" i="42" l="1"/>
  <c r="E94" i="42"/>
  <c r="K65" i="42"/>
  <c r="M61" i="42"/>
  <c r="L61" i="42"/>
  <c r="G29" i="42"/>
  <c r="F29" i="42"/>
  <c r="E33" i="42"/>
  <c r="E98" i="42" l="1"/>
  <c r="G94" i="42"/>
  <c r="H29" i="42"/>
  <c r="G33" i="42"/>
  <c r="I29" i="42"/>
  <c r="M65" i="42"/>
  <c r="O61" i="42"/>
  <c r="N61" i="42"/>
  <c r="G98" i="42" l="1"/>
  <c r="I98" i="42"/>
  <c r="C66" i="42"/>
  <c r="O65" i="42"/>
  <c r="P61" i="42"/>
  <c r="M94" i="42"/>
  <c r="J29" i="42"/>
  <c r="I33" i="42"/>
  <c r="K29" i="42"/>
  <c r="K33" i="42" l="1"/>
  <c r="L29" i="42"/>
  <c r="M29" i="42"/>
  <c r="M97" i="42"/>
  <c r="O94" i="42"/>
  <c r="M98" i="42"/>
  <c r="M96" i="42"/>
  <c r="C68" i="42"/>
  <c r="D66" i="42"/>
  <c r="C70" i="42"/>
  <c r="C67" i="42"/>
  <c r="C69" i="42"/>
  <c r="C99" i="42" l="1"/>
  <c r="O97" i="42"/>
  <c r="O96" i="42"/>
  <c r="O98" i="42"/>
  <c r="P94" i="42"/>
  <c r="E70" i="42"/>
  <c r="N29" i="42"/>
  <c r="O29" i="42"/>
  <c r="M33" i="42"/>
  <c r="O33" i="42" l="1"/>
  <c r="C34" i="42"/>
  <c r="O31" i="42"/>
  <c r="P31" i="42" s="1"/>
  <c r="P29" i="42"/>
  <c r="O32" i="42"/>
  <c r="C102" i="42"/>
  <c r="C101" i="42"/>
  <c r="E99" i="42"/>
  <c r="D99" i="42"/>
  <c r="C100" i="42"/>
  <c r="F99" i="42" l="1"/>
  <c r="E102" i="42"/>
  <c r="E100" i="42"/>
  <c r="E101" i="42"/>
  <c r="E34" i="42"/>
  <c r="C36" i="42"/>
  <c r="D34" i="42"/>
  <c r="C35" i="42"/>
  <c r="D35" i="42" s="1"/>
  <c r="C37" i="42"/>
  <c r="E36" i="42" l="1"/>
  <c r="F34" i="42"/>
  <c r="E35" i="42"/>
  <c r="F35" i="42" s="1"/>
  <c r="E37"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Jon</author>
  </authors>
  <commentList>
    <comment ref="G14" authorId="0" shapeId="0" xr:uid="{00000000-0006-0000-0400-000001000000}">
      <text>
        <r>
          <rPr>
            <sz val="8"/>
            <color indexed="81"/>
            <rFont val="Tahoma"/>
            <family val="2"/>
          </rPr>
          <t>3rd Monday in January</t>
        </r>
      </text>
    </comment>
    <comment ref="G15" authorId="0" shapeId="0" xr:uid="{00000000-0006-0000-0400-000002000000}">
      <text>
        <r>
          <rPr>
            <sz val="8"/>
            <color indexed="81"/>
            <rFont val="Tahoma"/>
            <family val="2"/>
          </rPr>
          <t>3rd Monday in January</t>
        </r>
      </text>
    </comment>
    <comment ref="G16" authorId="0" shapeId="0" xr:uid="{00000000-0006-0000-0400-000003000000}">
      <text>
        <r>
          <rPr>
            <sz val="8"/>
            <color indexed="81"/>
            <rFont val="Tahoma"/>
            <family val="2"/>
          </rPr>
          <t>3rd Monday of February</t>
        </r>
      </text>
    </comment>
    <comment ref="G17" authorId="0" shapeId="0" xr:uid="{00000000-0006-0000-0400-000004000000}">
      <text>
        <r>
          <rPr>
            <sz val="8"/>
            <color indexed="81"/>
            <rFont val="Tahoma"/>
            <family val="2"/>
          </rPr>
          <t>3rd Monday of February</t>
        </r>
      </text>
    </comment>
    <comment ref="G18" authorId="0" shapeId="0" xr:uid="{00000000-0006-0000-0400-000005000000}">
      <text>
        <r>
          <rPr>
            <sz val="8"/>
            <color indexed="81"/>
            <rFont val="Tahoma"/>
            <family val="2"/>
          </rPr>
          <t>2nd Sunday of May</t>
        </r>
      </text>
    </comment>
    <comment ref="G19" authorId="0" shapeId="0" xr:uid="{00000000-0006-0000-0400-000006000000}">
      <text>
        <r>
          <rPr>
            <sz val="8"/>
            <color indexed="81"/>
            <rFont val="Tahoma"/>
            <family val="2"/>
          </rPr>
          <t>2nd Sunday of May</t>
        </r>
      </text>
    </comment>
    <comment ref="G20" authorId="1" shapeId="0" xr:uid="{00000000-0006-0000-0400-000007000000}">
      <text>
        <r>
          <rPr>
            <sz val="8"/>
            <color indexed="81"/>
            <rFont val="Tahoma"/>
            <family val="2"/>
          </rPr>
          <t>3rd Saturday in May</t>
        </r>
      </text>
    </comment>
    <comment ref="G21" authorId="1" shapeId="0" xr:uid="{00000000-0006-0000-0400-000008000000}">
      <text>
        <r>
          <rPr>
            <sz val="8"/>
            <color indexed="81"/>
            <rFont val="Tahoma"/>
            <family val="2"/>
          </rPr>
          <t>3rd Saturday in May</t>
        </r>
      </text>
    </comment>
    <comment ref="G22" authorId="0" shapeId="0" xr:uid="{00000000-0006-0000-0400-000009000000}">
      <text>
        <r>
          <rPr>
            <sz val="8"/>
            <color indexed="81"/>
            <rFont val="Tahoma"/>
            <family val="2"/>
          </rPr>
          <t>3rd Sunday of June</t>
        </r>
      </text>
    </comment>
    <comment ref="G23" authorId="0" shapeId="0" xr:uid="{00000000-0006-0000-0400-00000A000000}">
      <text>
        <r>
          <rPr>
            <sz val="8"/>
            <color indexed="81"/>
            <rFont val="Tahoma"/>
            <family val="2"/>
          </rPr>
          <t>3rd Sunday of June</t>
        </r>
      </text>
    </comment>
    <comment ref="G24" authorId="0" shapeId="0" xr:uid="{00000000-0006-0000-0400-00000B000000}">
      <text>
        <r>
          <rPr>
            <sz val="8"/>
            <color indexed="81"/>
            <rFont val="Tahoma"/>
            <family val="2"/>
          </rPr>
          <t>Last Monday of May</t>
        </r>
      </text>
    </comment>
    <comment ref="G25" authorId="0" shapeId="0" xr:uid="{00000000-0006-0000-0400-00000C000000}">
      <text>
        <r>
          <rPr>
            <sz val="8"/>
            <color indexed="81"/>
            <rFont val="Tahoma"/>
            <family val="2"/>
          </rPr>
          <t>Last Monday of May</t>
        </r>
      </text>
    </comment>
    <comment ref="G26" authorId="0" shapeId="0" xr:uid="{00000000-0006-0000-0400-00000D000000}">
      <text>
        <r>
          <rPr>
            <sz val="8"/>
            <color indexed="81"/>
            <rFont val="Tahoma"/>
            <family val="2"/>
          </rPr>
          <t>4th Sunday in July</t>
        </r>
      </text>
    </comment>
    <comment ref="G27" authorId="0" shapeId="0" xr:uid="{00000000-0006-0000-0400-00000E000000}">
      <text>
        <r>
          <rPr>
            <sz val="8"/>
            <color indexed="81"/>
            <rFont val="Tahoma"/>
            <family val="2"/>
          </rPr>
          <t>4th Sunday in July</t>
        </r>
      </text>
    </comment>
    <comment ref="G28" authorId="0" shapeId="0" xr:uid="{00000000-0006-0000-0400-00000F000000}">
      <text>
        <r>
          <rPr>
            <sz val="8"/>
            <color indexed="81"/>
            <rFont val="Tahoma"/>
            <family val="2"/>
          </rPr>
          <t>1st Monday of September</t>
        </r>
      </text>
    </comment>
    <comment ref="G29" authorId="0" shapeId="0" xr:uid="{00000000-0006-0000-0400-000010000000}">
      <text>
        <r>
          <rPr>
            <sz val="8"/>
            <color indexed="81"/>
            <rFont val="Tahoma"/>
            <family val="2"/>
          </rPr>
          <t>1st Monday of September</t>
        </r>
      </text>
    </comment>
    <comment ref="G30" authorId="0" shapeId="0" xr:uid="{00000000-0006-0000-0400-000011000000}">
      <text>
        <r>
          <rPr>
            <sz val="8"/>
            <color indexed="81"/>
            <rFont val="Tahoma"/>
            <family val="2"/>
          </rPr>
          <t>2nd Monday of October</t>
        </r>
      </text>
    </comment>
    <comment ref="G31" authorId="0" shapeId="0" xr:uid="{00000000-0006-0000-0400-000012000000}">
      <text>
        <r>
          <rPr>
            <sz val="8"/>
            <color indexed="81"/>
            <rFont val="Tahoma"/>
            <family val="2"/>
          </rPr>
          <t>2nd Monday of October</t>
        </r>
      </text>
    </comment>
    <comment ref="G32" authorId="0" shapeId="0" xr:uid="{00000000-0006-0000-0400-000013000000}">
      <text>
        <r>
          <rPr>
            <sz val="8"/>
            <color indexed="81"/>
            <rFont val="Tahoma"/>
            <family val="2"/>
          </rPr>
          <t>4th Thursday in November</t>
        </r>
      </text>
    </comment>
    <comment ref="G33" authorId="0" shapeId="0" xr:uid="{00000000-0006-0000-0400-000014000000}">
      <text>
        <r>
          <rPr>
            <sz val="8"/>
            <color indexed="81"/>
            <rFont val="Tahoma"/>
            <family val="2"/>
          </rPr>
          <t>4th Thursday in November</t>
        </r>
      </text>
    </comment>
    <comment ref="G34" authorId="0" shapeId="0" xr:uid="{00000000-0006-0000-0400-000015000000}">
      <text>
        <r>
          <rPr>
            <sz val="8"/>
            <color indexed="81"/>
            <rFont val="Tahoma"/>
            <family val="2"/>
          </rPr>
          <t>Takes into account Emancipation Day.</t>
        </r>
      </text>
    </comment>
    <comment ref="G35" authorId="0" shapeId="0" xr:uid="{00000000-0006-0000-0400-000016000000}">
      <text>
        <r>
          <rPr>
            <sz val="8"/>
            <color indexed="81"/>
            <rFont val="Tahoma"/>
            <family val="2"/>
          </rPr>
          <t>Takes into account Emancipation Day.</t>
        </r>
      </text>
    </comment>
    <comment ref="G36" authorId="0" shapeId="0" xr:uid="{00000000-0006-0000-0400-000017000000}">
      <text>
        <r>
          <rPr>
            <sz val="8"/>
            <color indexed="81"/>
            <rFont val="Tahoma"/>
            <family val="2"/>
          </rPr>
          <t>2nd Sunday in March (starting in 2007), 1st Sunday in April (prior to 2007)</t>
        </r>
      </text>
    </comment>
    <comment ref="G37" authorId="0" shapeId="0" xr:uid="{00000000-0006-0000-0400-000018000000}">
      <text>
        <r>
          <rPr>
            <sz val="8"/>
            <color indexed="81"/>
            <rFont val="Tahoma"/>
            <family val="2"/>
          </rPr>
          <t>2nd Sunday in March (starting in 2007), 1st Sunday in April (prior to 2007)</t>
        </r>
      </text>
    </comment>
    <comment ref="G38" authorId="0" shapeId="0" xr:uid="{00000000-0006-0000-0400-000019000000}">
      <text>
        <r>
          <rPr>
            <sz val="8"/>
            <color indexed="81"/>
            <rFont val="Tahoma"/>
            <family val="2"/>
          </rPr>
          <t>1st Sunday of November (starting in 2007), Last Sunday in October (prior to 2007)</t>
        </r>
      </text>
    </comment>
    <comment ref="G39" authorId="0" shapeId="0" xr:uid="{00000000-0006-0000-0400-00001A000000}">
      <text>
        <r>
          <rPr>
            <sz val="8"/>
            <color indexed="81"/>
            <rFont val="Tahoma"/>
            <family val="2"/>
          </rPr>
          <t>1st Sunday of November (starting in 2007), Last Sunday in October (prior to 2007)</t>
        </r>
      </text>
    </comment>
    <comment ref="G40" authorId="0" shapeId="0" xr:uid="{00000000-0006-0000-0400-00001B000000}">
      <text>
        <r>
          <rPr>
            <sz val="8"/>
            <color indexed="81"/>
            <rFont val="Tahoma"/>
            <family val="2"/>
          </rPr>
          <t>1st Sunday after Labor Day</t>
        </r>
      </text>
    </comment>
    <comment ref="G41" authorId="0" shapeId="0" xr:uid="{00000000-0006-0000-0400-00001C000000}">
      <text>
        <r>
          <rPr>
            <sz val="8"/>
            <color indexed="81"/>
            <rFont val="Tahoma"/>
            <family val="2"/>
          </rPr>
          <t>1st Sunday after Labor Day</t>
        </r>
      </text>
    </comment>
    <comment ref="G42" authorId="0" shapeId="0" xr:uid="{00000000-0006-0000-0400-00001D000000}">
      <text>
        <r>
          <rPr>
            <sz val="8"/>
            <color indexed="81"/>
            <rFont val="Tahoma"/>
            <family val="2"/>
          </rPr>
          <t>Wednesday of last full week in April</t>
        </r>
      </text>
    </comment>
    <comment ref="G43" authorId="0" shapeId="0" xr:uid="{00000000-0006-0000-0400-00001E000000}">
      <text>
        <r>
          <rPr>
            <sz val="8"/>
            <color indexed="81"/>
            <rFont val="Tahoma"/>
            <family val="2"/>
          </rPr>
          <t>Wednesday of last full week in April</t>
        </r>
      </text>
    </comment>
    <comment ref="G44" authorId="0" shapeId="0" xr:uid="{00000000-0006-0000-0400-00001F000000}">
      <text>
        <r>
          <rPr>
            <sz val="8"/>
            <color indexed="81"/>
            <rFont val="Tahoma"/>
            <family val="2"/>
          </rPr>
          <t>For 2013 to 2030, using a table-lookup method.</t>
        </r>
      </text>
    </comment>
    <comment ref="G45" authorId="0" shapeId="0" xr:uid="{00000000-0006-0000-0400-000020000000}">
      <text>
        <r>
          <rPr>
            <sz val="8"/>
            <color indexed="81"/>
            <rFont val="Tahoma"/>
            <family val="2"/>
          </rPr>
          <t>For 2013 to 2030, using a table-lookup method.</t>
        </r>
      </text>
    </comment>
    <comment ref="G46" authorId="0" shapeId="0" xr:uid="{00000000-0006-0000-0400-000021000000}">
      <text>
        <r>
          <rPr>
            <sz val="8"/>
            <color indexed="81"/>
            <rFont val="Tahoma"/>
            <family val="2"/>
          </rPr>
          <t>Simplified formula for the years between 1900 and 2199. See the following reference:
http://www.smart.net/~mmontes/ec-cal.html</t>
        </r>
      </text>
    </comment>
    <comment ref="G47" authorId="0" shapeId="0" xr:uid="{00000000-0006-0000-0400-000022000000}">
      <text>
        <r>
          <rPr>
            <sz val="8"/>
            <color indexed="81"/>
            <rFont val="Tahoma"/>
            <family val="2"/>
          </rPr>
          <t>Simplified formula for the years between 1900 and 2199. See the following reference:
http://www.smart.net/~mmontes/ec-cal.html</t>
        </r>
      </text>
    </comment>
    <comment ref="G48" authorId="0" shapeId="0" xr:uid="{00000000-0006-0000-0400-000023000000}">
      <text>
        <r>
          <rPr>
            <sz val="8"/>
            <color indexed="81"/>
            <rFont val="Tahoma"/>
            <family val="2"/>
          </rPr>
          <t>The Friday before Easter Sunday</t>
        </r>
      </text>
    </comment>
    <comment ref="G49" authorId="0" shapeId="0" xr:uid="{00000000-0006-0000-0400-000024000000}">
      <text>
        <r>
          <rPr>
            <sz val="8"/>
            <color indexed="81"/>
            <rFont val="Tahoma"/>
            <family val="2"/>
          </rPr>
          <t>The Friday before Easter Sunday</t>
        </r>
      </text>
    </comment>
    <comment ref="G50" authorId="1" shapeId="0" xr:uid="{00000000-0006-0000-0400-000025000000}">
      <text>
        <r>
          <rPr>
            <sz val="8"/>
            <color indexed="81"/>
            <rFont val="Tahoma"/>
            <family val="2"/>
          </rPr>
          <t>7 weeks after Easter Sunday</t>
        </r>
      </text>
    </comment>
    <comment ref="G51" authorId="1" shapeId="0" xr:uid="{00000000-0006-0000-0400-000026000000}">
      <text>
        <r>
          <rPr>
            <sz val="8"/>
            <color indexed="81"/>
            <rFont val="Tahoma"/>
            <family val="2"/>
          </rPr>
          <t>7 weeks after Easter Sunday</t>
        </r>
      </text>
    </comment>
    <comment ref="G52" authorId="1" shapeId="0" xr:uid="{00000000-0006-0000-0400-000027000000}">
      <text>
        <r>
          <rPr>
            <sz val="8"/>
            <color indexed="81"/>
            <rFont val="Tahoma"/>
            <family val="2"/>
          </rPr>
          <t>46 days before Easter</t>
        </r>
      </text>
    </comment>
    <comment ref="G53" authorId="1" shapeId="0" xr:uid="{00000000-0006-0000-0400-000028000000}">
      <text>
        <r>
          <rPr>
            <sz val="8"/>
            <color indexed="81"/>
            <rFont val="Tahoma"/>
            <family val="2"/>
          </rPr>
          <t>46 days before Easter</t>
        </r>
      </text>
    </comment>
    <comment ref="G54" authorId="1" shapeId="0" xr:uid="{00000000-0006-0000-0400-000029000000}">
      <text>
        <r>
          <rPr>
            <sz val="8"/>
            <color indexed="81"/>
            <rFont val="Tahoma"/>
            <family val="2"/>
          </rPr>
          <t>47 days before Easter. Day before Ash Wednesday.</t>
        </r>
      </text>
    </comment>
    <comment ref="G55" authorId="1" shapeId="0" xr:uid="{00000000-0006-0000-0400-00002A000000}">
      <text>
        <r>
          <rPr>
            <sz val="8"/>
            <color indexed="81"/>
            <rFont val="Tahoma"/>
            <family val="2"/>
          </rPr>
          <t>47 days before Easter. Day before Ash Wednesday.</t>
        </r>
      </text>
    </comment>
    <comment ref="G56" authorId="0" shapeId="0" xr:uid="{00000000-0006-0000-0400-00002B000000}">
      <text>
        <r>
          <rPr>
            <sz val="8"/>
            <color indexed="81"/>
            <rFont val="Tahoma"/>
            <family val="2"/>
          </rPr>
          <t>For 2013 to 2030, using a table-lookup method.</t>
        </r>
      </text>
    </comment>
    <comment ref="G57" authorId="0" shapeId="0" xr:uid="{00000000-0006-0000-0400-00002C000000}">
      <text>
        <r>
          <rPr>
            <sz val="8"/>
            <color indexed="81"/>
            <rFont val="Tahoma"/>
            <family val="2"/>
          </rPr>
          <t>For 2013 to 2030, using a table-lookup method.</t>
        </r>
      </text>
    </comment>
    <comment ref="G60" authorId="0" shapeId="0" xr:uid="{00000000-0006-0000-0400-00002D000000}">
      <text>
        <r>
          <rPr>
            <sz val="8"/>
            <color indexed="81"/>
            <rFont val="Tahoma"/>
            <family val="2"/>
          </rPr>
          <t>For 2013 to 2030, using a table-lookup method.
Jewish New Year begins the evening before this date</t>
        </r>
      </text>
    </comment>
    <comment ref="G61" authorId="0" shapeId="0" xr:uid="{00000000-0006-0000-0400-00002E000000}">
      <text>
        <r>
          <rPr>
            <sz val="8"/>
            <color indexed="81"/>
            <rFont val="Tahoma"/>
            <family val="2"/>
          </rPr>
          <t>For 2013 to 2030, using a table-lookup method.
Jewish New Year begins the evening before this date</t>
        </r>
      </text>
    </comment>
    <comment ref="G66" authorId="0" shapeId="0" xr:uid="{00000000-0006-0000-0400-00002F000000}">
      <text>
        <r>
          <rPr>
            <sz val="8"/>
            <color indexed="81"/>
            <rFont val="Tahoma"/>
            <family val="2"/>
          </rPr>
          <t>For 2013 to 2020, using a table-lookup method.</t>
        </r>
      </text>
    </comment>
    <comment ref="G67" authorId="0" shapeId="0" xr:uid="{00000000-0006-0000-0400-000030000000}">
      <text>
        <r>
          <rPr>
            <sz val="8"/>
            <color indexed="81"/>
            <rFont val="Tahoma"/>
            <family val="2"/>
          </rPr>
          <t>For 2013 to 2020, using a table-lookup method.</t>
        </r>
      </text>
    </comment>
    <comment ref="G68" authorId="1" shapeId="0" xr:uid="{00000000-0006-0000-0400-000031000000}">
      <text>
        <r>
          <rPr>
            <sz val="8"/>
            <color indexed="81"/>
            <rFont val="Tahoma"/>
            <family val="2"/>
          </rPr>
          <t>Monday on or before May 24</t>
        </r>
      </text>
    </comment>
    <comment ref="G69" authorId="1" shapeId="0" xr:uid="{00000000-0006-0000-0400-000032000000}">
      <text>
        <r>
          <rPr>
            <sz val="8"/>
            <color indexed="81"/>
            <rFont val="Tahoma"/>
            <family val="2"/>
          </rPr>
          <t>Monday on or before May 24</t>
        </r>
      </text>
    </comment>
    <comment ref="G70" authorId="1" shapeId="0" xr:uid="{00000000-0006-0000-0400-000033000000}">
      <text>
        <r>
          <rPr>
            <sz val="8"/>
            <color indexed="81"/>
            <rFont val="Tahoma"/>
            <family val="2"/>
          </rPr>
          <t>Custom formula © 2009 Vertex42 LLC
Dates compared with table from timeanddate.com for 1900-2099.
http://www.timeanddate.com/calendar/seasons.html</t>
        </r>
      </text>
    </comment>
    <comment ref="G72" authorId="1" shapeId="0" xr:uid="{00000000-0006-0000-0400-000034000000}">
      <text>
        <r>
          <rPr>
            <sz val="8"/>
            <color indexed="81"/>
            <rFont val="Tahoma"/>
            <family val="2"/>
          </rPr>
          <t>Custom formula © 2009 Vertex42 LLC
Dates compared with table from timeanddate.com for 1900-2099.
http://www.timeanddate.com/calendar/seasons.html</t>
        </r>
      </text>
    </comment>
    <comment ref="G74" authorId="1" shapeId="0" xr:uid="{00000000-0006-0000-0400-000035000000}">
      <text>
        <r>
          <rPr>
            <sz val="8"/>
            <color indexed="81"/>
            <rFont val="Tahoma"/>
            <family val="2"/>
          </rPr>
          <t>Custom formula © 2009 Vertex42 LLC
Dates compared with table from timeanddate.com for 1900-2099.
http://www.timeanddate.com/calendar/seasons.html</t>
        </r>
      </text>
    </comment>
    <comment ref="G76" authorId="1" shapeId="0" xr:uid="{00000000-0006-0000-0400-000036000000}">
      <text>
        <r>
          <rPr>
            <sz val="8"/>
            <color indexed="81"/>
            <rFont val="Tahoma"/>
            <family val="2"/>
          </rPr>
          <t>Custom formula © 2009 Vertex42 LLC
Dates compared with table from timeanddate.com for 1900-2099.
http://www.timeanddate.com/calendar/seasons.html</t>
        </r>
      </text>
    </comment>
    <comment ref="B80" authorId="1" shapeId="0" xr:uid="{00000000-0006-0000-0400-000037000000}">
      <text>
        <r>
          <rPr>
            <b/>
            <sz val="8"/>
            <color indexed="81"/>
            <rFont val="Tahoma"/>
            <family val="2"/>
          </rPr>
          <t>Year:</t>
        </r>
        <r>
          <rPr>
            <sz val="8"/>
            <color indexed="81"/>
            <rFont val="Tahoma"/>
            <family val="2"/>
          </rPr>
          <t xml:space="preserve">
Enter =$B$9 to link the year to the value at the top of this worksheet.</t>
        </r>
      </text>
    </comment>
    <comment ref="C80" authorId="1" shapeId="0" xr:uid="{00000000-0006-0000-0400-000038000000}">
      <text>
        <r>
          <rPr>
            <b/>
            <sz val="8"/>
            <color indexed="81"/>
            <rFont val="Tahoma"/>
            <family val="2"/>
          </rPr>
          <t>Month:</t>
        </r>
        <r>
          <rPr>
            <sz val="8"/>
            <color indexed="81"/>
            <rFont val="Tahoma"/>
            <family val="2"/>
          </rPr>
          <t xml:space="preserve">
For a recurring monthly meeting, you could enter =Planner!$D$2 to link the month to whatever the month is in the Planner worksheet.</t>
        </r>
      </text>
    </comment>
    <comment ref="E80" authorId="1" shapeId="0" xr:uid="{00000000-0006-0000-0400-000039000000}">
      <text>
        <r>
          <rPr>
            <b/>
            <sz val="8"/>
            <color indexed="81"/>
            <rFont val="Tahoma"/>
            <family val="2"/>
          </rPr>
          <t>Week:</t>
        </r>
        <r>
          <rPr>
            <sz val="8"/>
            <color indexed="81"/>
            <rFont val="Tahoma"/>
            <family val="2"/>
          </rPr>
          <t xml:space="preserve">
For the "First Monday of September" you would enter week = 1 and month = 9.
For the "Last Monday of September" you would enter week = 0 and month = 10.</t>
        </r>
      </text>
    </comment>
    <comment ref="F80" authorId="1" shapeId="0" xr:uid="{00000000-0006-0000-0400-00003A000000}">
      <text>
        <r>
          <rPr>
            <b/>
            <sz val="8"/>
            <color indexed="81"/>
            <rFont val="Tahoma"/>
            <family val="2"/>
          </rPr>
          <t>Weekday:</t>
        </r>
        <r>
          <rPr>
            <sz val="8"/>
            <color indexed="81"/>
            <rFont val="Tahoma"/>
            <family val="2"/>
          </rPr>
          <t xml:space="preserve">
1 = Sunday, 2 = Monday, etc.</t>
        </r>
      </text>
    </comment>
  </commentList>
</comments>
</file>

<file path=xl/sharedStrings.xml><?xml version="1.0" encoding="utf-8"?>
<sst xmlns="http://schemas.openxmlformats.org/spreadsheetml/2006/main" count="2046" uniqueCount="195">
  <si>
    <t>1:Sun,2:Mon</t>
  </si>
  <si>
    <t>Date:</t>
  </si>
  <si>
    <t>By Vertex42.com</t>
  </si>
  <si>
    <t>Do not submit copies or modifications of this template to any website or online template gallery.</t>
  </si>
  <si>
    <t>Please review the following license agreement to learn how you may or may not use this template. Thank you.</t>
  </si>
  <si>
    <t>Year:</t>
  </si>
  <si>
    <t>Holidays and Events</t>
  </si>
  <si>
    <t xml:space="preserve">This worksheet uses formulas to calculate the dates for various holidays and observances. If you want to enter dates for events </t>
  </si>
  <si>
    <t xml:space="preserve">without using formulas or cell references, just enter the description in column A and the date in column G. When adding new </t>
  </si>
  <si>
    <r>
      <t>Dates</t>
    </r>
    <r>
      <rPr>
        <sz val="11"/>
        <rFont val="Arial"/>
        <family val="2"/>
      </rPr>
      <t xml:space="preserve"> that use special formulas</t>
    </r>
  </si>
  <si>
    <t>Holiday</t>
  </si>
  <si>
    <t>Year</t>
  </si>
  <si>
    <t>Month</t>
  </si>
  <si>
    <t>Day</t>
  </si>
  <si>
    <t>Week</t>
  </si>
  <si>
    <t>Weekday</t>
  </si>
  <si>
    <t>Date</t>
  </si>
  <si>
    <t>2nd Event</t>
  </si>
  <si>
    <t>3rd Event</t>
  </si>
  <si>
    <t>4th Event</t>
  </si>
  <si>
    <t>ML King Day</t>
  </si>
  <si>
    <t>Presidents' Day</t>
  </si>
  <si>
    <t>Mother's Day</t>
  </si>
  <si>
    <t>Armed Forces Day</t>
  </si>
  <si>
    <t>Father's Day</t>
  </si>
  <si>
    <t>Memorial Day</t>
  </si>
  <si>
    <t>Parents' Day</t>
  </si>
  <si>
    <t>Labor Day</t>
  </si>
  <si>
    <t>Columbus Day</t>
  </si>
  <si>
    <t>Thanksgiving</t>
  </si>
  <si>
    <t>Taxes Due</t>
  </si>
  <si>
    <t>Daylight Saving</t>
  </si>
  <si>
    <t>Grandparents Day</t>
  </si>
  <si>
    <t>Admin Assist Day</t>
  </si>
  <si>
    <t>Chinese New  Year</t>
  </si>
  <si>
    <t>Easter</t>
  </si>
  <si>
    <t>Good Friday</t>
  </si>
  <si>
    <t>relative to Easter</t>
  </si>
  <si>
    <t>Pentecost</t>
  </si>
  <si>
    <t>Ash Wednesday</t>
  </si>
  <si>
    <t>Mardi Gras</t>
  </si>
  <si>
    <t>Ramadan begins</t>
  </si>
  <si>
    <t>End of Ramadan</t>
  </si>
  <si>
    <t>relative to Ramadan begins</t>
  </si>
  <si>
    <t>Rosh Hashanah</t>
  </si>
  <si>
    <t>Yom Kippur</t>
  </si>
  <si>
    <t>relative to Rosh Hashanah</t>
  </si>
  <si>
    <t>Passover</t>
  </si>
  <si>
    <t>Hanukkah begins</t>
  </si>
  <si>
    <t>Victoria Day (Canada)</t>
  </si>
  <si>
    <r>
      <t>Other Events</t>
    </r>
    <r>
      <rPr>
        <sz val="11"/>
        <rFont val="Arial"/>
        <family val="2"/>
      </rPr>
      <t xml:space="preserve"> on a </t>
    </r>
    <r>
      <rPr>
        <b/>
        <sz val="11"/>
        <rFont val="Arial"/>
        <family val="2"/>
      </rPr>
      <t>Specific Day of the Week</t>
    </r>
  </si>
  <si>
    <t>For Dates such as "First Monday in September"</t>
  </si>
  <si>
    <t>Event</t>
  </si>
  <si>
    <r>
      <t>Holidays and Observances</t>
    </r>
    <r>
      <rPr>
        <sz val="11"/>
        <rFont val="Arial"/>
        <family val="2"/>
      </rPr>
      <t xml:space="preserve"> on a </t>
    </r>
    <r>
      <rPr>
        <b/>
        <sz val="11"/>
        <rFont val="Arial"/>
        <family val="2"/>
      </rPr>
      <t>Specific Day of the Year</t>
    </r>
  </si>
  <si>
    <t>New Year's Day</t>
  </si>
  <si>
    <t>Groundhog Day</t>
  </si>
  <si>
    <t>Lincoln's B-Day</t>
  </si>
  <si>
    <t>Valentine's Day</t>
  </si>
  <si>
    <t>St. Patrick's Day</t>
  </si>
  <si>
    <t>April Fool's Day</t>
  </si>
  <si>
    <t>Earth Day</t>
  </si>
  <si>
    <t>Cinco de Mayo</t>
  </si>
  <si>
    <t>Flag Day</t>
  </si>
  <si>
    <t>Independence Day</t>
  </si>
  <si>
    <t>Aviation Day</t>
  </si>
  <si>
    <t>Patriot Day</t>
  </si>
  <si>
    <t>Constitution Day</t>
  </si>
  <si>
    <t>Boss's Day</t>
  </si>
  <si>
    <t>United Nations Day</t>
  </si>
  <si>
    <t>Halloween</t>
  </si>
  <si>
    <t>Veterans Day</t>
  </si>
  <si>
    <t>Pearl Harbor</t>
  </si>
  <si>
    <t>Christmas Eve</t>
  </si>
  <si>
    <t>Christmas Day</t>
  </si>
  <si>
    <t>Kwanzaa begins</t>
  </si>
  <si>
    <t>Boxing Day (UK)</t>
  </si>
  <si>
    <t>New Year's Eve</t>
  </si>
  <si>
    <t>© 2015 Vertex42 LLC</t>
  </si>
  <si>
    <t>HELP</t>
  </si>
  <si>
    <t>Go to Page Layout &gt; Themes and browse. To change just the theme colors, go to Page Layout &gt; Colors.</t>
  </si>
  <si>
    <t>The background color of the cells in the calendar is controlled via conditional formatting. To set the background manually, you can remove the conditional formatting by going to Home &gt; Conditional Formatting &gt; Manage Rules.</t>
  </si>
  <si>
    <t>This spreadsheet is designed to have you enter events into the calendar via the Events worksheet. Every cell in the monthly calendars contains a formula that refers to the Events worksheet.</t>
  </si>
  <si>
    <t>If you enter text manually into the calendar, instead of using the Events worksheet, you will overwrite the formulas and the information you have entered in the cell will remain there even after you change the year.</t>
  </si>
  <si>
    <t>After you have listed your birthdays, anniversaries, and other special dates in the Events worksheet, save a backup copy of this spreadsheet so that you can edit this year's calendar however you want. Then next year, create a new calendar from your backup, update the year, and customize as needed.</t>
  </si>
  <si>
    <t>To add events that update based on the year, enter =$B$10 in the year column. For calendars spanning two years, add the same event</t>
  </si>
  <si>
    <t>on two rows, entering =$B$10+1 in the year column for the second row.</t>
  </si>
  <si>
    <t>Start Month</t>
  </si>
  <si>
    <t>Start Day</t>
  </si>
  <si>
    <t>Quarterly Calendar Template</t>
  </si>
  <si>
    <t>rows, copy the formulas down in columns H through L. These extra columns allow the calendar to list up to 4 events per day.</t>
  </si>
  <si>
    <t>This spreadsheet, including all worksheets and associated content is a copyrighted work under the United States and other copyright laws.</t>
  </si>
  <si>
    <t>Quarterly Calendar</t>
  </si>
  <si>
    <t>Quarterly Calendar Template © 2015 by Vertex42 LLC. Free to print</t>
  </si>
  <si>
    <t>https://www.vertex42.com/calendars/quarterly-calendar.html</t>
  </si>
  <si>
    <t>https://www.vertex42.com/licensing/EULA_privateuse.html</t>
  </si>
  <si>
    <t>Vernal equinox (GMT)</t>
  </si>
  <si>
    <t>June Solstice (GMT)</t>
  </si>
  <si>
    <t>Autumnal equinox (GMT)</t>
  </si>
  <si>
    <t>Dec. Solstice (GMT)</t>
  </si>
  <si>
    <t>© 2015-2020 Vertex42 LLC</t>
  </si>
  <si>
    <t>Choose a Theme</t>
  </si>
  <si>
    <t>Conditional Formatting</t>
  </si>
  <si>
    <t>Adding Holidays and Events</t>
  </si>
  <si>
    <t>Related Templates and Resources</t>
  </si>
  <si>
    <t>► Basic Monthly Calendar</t>
  </si>
  <si>
    <t>► Personal Planner Template</t>
  </si>
  <si>
    <t>License Agreement</t>
  </si>
  <si>
    <t>Do not delete this worksheet</t>
  </si>
  <si>
    <t>Juneteenth</t>
  </si>
  <si>
    <t>Sunday</t>
  </si>
  <si>
    <t>Monday</t>
  </si>
  <si>
    <t>Tuesday</t>
  </si>
  <si>
    <t>Wednesday</t>
  </si>
  <si>
    <t>Thursday</t>
  </si>
  <si>
    <t>Friday</t>
  </si>
  <si>
    <t>Saturday</t>
  </si>
  <si>
    <t>Final Load</t>
  </si>
  <si>
    <t>Roll to next qtr</t>
  </si>
  <si>
    <t>AUR valuation</t>
  </si>
  <si>
    <t>GTN update</t>
  </si>
  <si>
    <t>Daily Load report</t>
  </si>
  <si>
    <t>EPM Dashboard</t>
  </si>
  <si>
    <t>Load Calendar</t>
  </si>
  <si>
    <t>Blackout</t>
  </si>
  <si>
    <t>week 1</t>
  </si>
  <si>
    <t>week 2</t>
  </si>
  <si>
    <t>week 3</t>
  </si>
  <si>
    <t>week 4</t>
  </si>
  <si>
    <t>week 5</t>
  </si>
  <si>
    <t>week 5 (cont)</t>
  </si>
  <si>
    <t>week 6</t>
  </si>
  <si>
    <t>week 7</t>
  </si>
  <si>
    <t>week</t>
  </si>
  <si>
    <t>week 8</t>
  </si>
  <si>
    <t>week 9</t>
  </si>
  <si>
    <t>week 9 (cont)</t>
  </si>
  <si>
    <t>week 10</t>
  </si>
  <si>
    <t>week 11</t>
  </si>
  <si>
    <t>week 12</t>
  </si>
  <si>
    <t>week 13</t>
  </si>
  <si>
    <t>week 13 (cont)</t>
  </si>
  <si>
    <t>W1</t>
  </si>
  <si>
    <t>W2</t>
  </si>
  <si>
    <t>W3</t>
  </si>
  <si>
    <t>W4</t>
  </si>
  <si>
    <t>W5</t>
  </si>
  <si>
    <t>W6</t>
  </si>
  <si>
    <t>W7</t>
  </si>
  <si>
    <t>DTG2</t>
  </si>
  <si>
    <t>DTG1</t>
  </si>
  <si>
    <t>W2+</t>
  </si>
  <si>
    <t>W8</t>
  </si>
  <si>
    <t>PRELIM EARNINGS</t>
  </si>
  <si>
    <t>W9</t>
  </si>
  <si>
    <t>W10</t>
  </si>
  <si>
    <t>W11</t>
  </si>
  <si>
    <t>W12</t>
  </si>
  <si>
    <t>DTG3</t>
  </si>
  <si>
    <t>DTG4</t>
  </si>
  <si>
    <t>DTG5</t>
  </si>
  <si>
    <t>DTG6</t>
  </si>
  <si>
    <t>DTG7</t>
  </si>
  <si>
    <t>L2L Alignment</t>
  </si>
  <si>
    <t>Roll to next mth</t>
  </si>
  <si>
    <t>January Final</t>
  </si>
  <si>
    <t>February Final</t>
  </si>
  <si>
    <t>DTG8</t>
  </si>
  <si>
    <t>DTG9</t>
  </si>
  <si>
    <t>DTG10</t>
  </si>
  <si>
    <t>1Q Load Calendar</t>
  </si>
  <si>
    <t>DTG1 SAT</t>
  </si>
  <si>
    <t>LABOR DAY</t>
  </si>
  <si>
    <t>NON-US</t>
  </si>
  <si>
    <t>April Final</t>
  </si>
  <si>
    <t>May Final</t>
  </si>
  <si>
    <t>Month roll</t>
  </si>
  <si>
    <t>No WW Load Run</t>
  </si>
  <si>
    <t>WW Load Run</t>
  </si>
  <si>
    <t>Intependence Day</t>
  </si>
  <si>
    <t>July Month End</t>
  </si>
  <si>
    <t>August Month End</t>
  </si>
  <si>
    <t>WW courtesy run</t>
  </si>
  <si>
    <t>Month End October</t>
  </si>
  <si>
    <t>Month End November</t>
  </si>
  <si>
    <t>HV CUT-OFF</t>
  </si>
  <si>
    <t>L2L Alignment/ HE CUT-OFF</t>
  </si>
  <si>
    <t>CUT-OFF CEPH, Clever, Defend</t>
  </si>
  <si>
    <t>EARNING RELEASE</t>
  </si>
  <si>
    <t>OFF</t>
  </si>
  <si>
    <t>HE CUT-OFF</t>
  </si>
  <si>
    <t>Ceph, Clever, Defend CUT-OFF</t>
  </si>
  <si>
    <t>2Q Load Calendar</t>
  </si>
  <si>
    <t>Labor DAY</t>
  </si>
  <si>
    <t>3Q Load Calendar</t>
  </si>
  <si>
    <t>Daily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</si>
</sst>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
    <numFmt numFmtId="165" formatCode="mmmm\ yyyy"/>
    <numFmt numFmtId="166" formatCode="dddd"/>
    <numFmt numFmtId="167" formatCode="m/d/yy"/>
    <numFmt numFmtId="168" formatCode="[$-409]mmmm\-yy;@"/>
  </numFmts>
  <fonts count="59" x14ac:knownFonts="1">
    <font>
      <sz val="10"/>
      <name val="Arial"/>
      <family val="2"/>
    </font>
    <font>
      <sz val="8"/>
      <color indexed="16"/>
      <name val="Verdana"/>
      <family val="2"/>
    </font>
    <font>
      <sz val="8"/>
      <name val="Arial"/>
      <family val="2"/>
    </font>
    <font>
      <sz val="8"/>
      <name val="Verdana"/>
      <family val="2"/>
    </font>
    <font>
      <b/>
      <sz val="12"/>
      <name val="Arial"/>
      <family val="2"/>
    </font>
    <font>
      <sz val="12"/>
      <name val="Arial"/>
      <family val="2"/>
    </font>
    <font>
      <sz val="10"/>
      <name val="Arial"/>
      <family val="2"/>
    </font>
    <font>
      <sz val="8"/>
      <name val="Arial"/>
      <family val="1"/>
      <scheme val="minor"/>
    </font>
    <font>
      <sz val="10"/>
      <name val="Arial"/>
      <family val="1"/>
      <scheme val="minor"/>
    </font>
    <font>
      <b/>
      <sz val="14"/>
      <name val="Arial"/>
      <family val="2"/>
      <scheme val="major"/>
    </font>
    <font>
      <u/>
      <sz val="12"/>
      <color indexed="12"/>
      <name val="Arial"/>
      <family val="2"/>
    </font>
    <font>
      <i/>
      <sz val="8"/>
      <name val="Arial"/>
      <family val="2"/>
    </font>
    <font>
      <sz val="11"/>
      <name val="Arial"/>
      <family val="2"/>
    </font>
    <font>
      <sz val="10"/>
      <color theme="4" tint="-0.249977111117893"/>
      <name val="Arial"/>
      <family val="2"/>
      <scheme val="minor"/>
    </font>
    <font>
      <sz val="10"/>
      <color theme="0"/>
      <name val="Arial"/>
      <family val="2"/>
    </font>
    <font>
      <sz val="16"/>
      <color theme="0"/>
      <name val="Arial"/>
      <family val="2"/>
    </font>
    <font>
      <sz val="8"/>
      <color theme="0"/>
      <name val="Arial"/>
      <family val="2"/>
    </font>
    <font>
      <sz val="8"/>
      <color theme="0" tint="-0.34998626667073579"/>
      <name val="Arial"/>
      <family val="2"/>
    </font>
    <font>
      <sz val="9"/>
      <name val="Arial"/>
      <family val="2"/>
    </font>
    <font>
      <sz val="9"/>
      <color theme="4"/>
      <name val="Arial"/>
      <family val="2"/>
    </font>
    <font>
      <b/>
      <sz val="11"/>
      <name val="Arial"/>
      <family val="2"/>
    </font>
    <font>
      <i/>
      <sz val="10"/>
      <name val="Arial"/>
      <family val="2"/>
    </font>
    <font>
      <sz val="8"/>
      <color indexed="81"/>
      <name val="Tahoma"/>
      <family val="2"/>
    </font>
    <font>
      <b/>
      <sz val="8"/>
      <color indexed="81"/>
      <name val="Tahoma"/>
      <family val="2"/>
    </font>
    <font>
      <u/>
      <sz val="10"/>
      <color indexed="12"/>
      <name val="Arial"/>
      <family val="2"/>
    </font>
    <font>
      <b/>
      <sz val="11"/>
      <color theme="0"/>
      <name val="Arial"/>
      <family val="1"/>
      <scheme val="major"/>
    </font>
    <font>
      <b/>
      <sz val="10"/>
      <name val="Arial"/>
      <family val="1"/>
      <scheme val="major"/>
    </font>
    <font>
      <sz val="16"/>
      <name val="Arial"/>
      <family val="2"/>
    </font>
    <font>
      <sz val="8"/>
      <color theme="4"/>
      <name val="Arial"/>
      <family val="1"/>
      <scheme val="minor"/>
    </font>
    <font>
      <sz val="8"/>
      <name val="Arial"/>
      <family val="1"/>
    </font>
    <font>
      <sz val="8"/>
      <color theme="4"/>
      <name val="Arial"/>
      <family val="1"/>
    </font>
    <font>
      <sz val="11"/>
      <name val="Arial"/>
      <family val="1"/>
    </font>
    <font>
      <sz val="28"/>
      <color theme="4"/>
      <name val="Arial"/>
      <family val="2"/>
    </font>
    <font>
      <sz val="8"/>
      <color theme="0" tint="-0.499984740745262"/>
      <name val="Arial"/>
      <family val="1"/>
    </font>
    <font>
      <b/>
      <sz val="18"/>
      <color theme="0"/>
      <name val="Arial"/>
      <family val="2"/>
    </font>
    <font>
      <sz val="9"/>
      <color theme="0" tint="-0.499984740745262"/>
      <name val="Arial"/>
      <family val="2"/>
    </font>
    <font>
      <b/>
      <sz val="12"/>
      <color rgb="FF234372"/>
      <name val="Arial"/>
      <family val="2"/>
    </font>
    <font>
      <sz val="12"/>
      <color rgb="FF234372"/>
      <name val="Arial"/>
      <family val="2"/>
    </font>
    <font>
      <sz val="14"/>
      <color rgb="FF234372"/>
      <name val="Arial"/>
      <family val="2"/>
    </font>
    <font>
      <u/>
      <sz val="11"/>
      <color indexed="12"/>
      <name val="Arial"/>
      <family val="2"/>
    </font>
    <font>
      <sz val="18"/>
      <color theme="0"/>
      <name val="Arial"/>
      <family val="2"/>
    </font>
    <font>
      <sz val="12"/>
      <color theme="1"/>
      <name val="Arial"/>
      <family val="2"/>
    </font>
    <font>
      <b/>
      <sz val="8"/>
      <color theme="4"/>
      <name val="Arial"/>
      <family val="2"/>
      <scheme val="minor"/>
    </font>
    <font>
      <b/>
      <i/>
      <sz val="11"/>
      <color theme="0"/>
      <name val="Arial"/>
      <family val="2"/>
      <scheme val="major"/>
    </font>
    <font>
      <sz val="6"/>
      <name val="Arial"/>
      <family val="1"/>
      <scheme val="minor"/>
    </font>
    <font>
      <sz val="10"/>
      <color theme="4" tint="-0.249977111117893"/>
      <name val="Arial"/>
      <family val="2"/>
    </font>
    <font>
      <sz val="8"/>
      <color theme="4" tint="-0.249977111117893"/>
      <name val="Arial"/>
      <family val="2"/>
    </font>
    <font>
      <i/>
      <sz val="10"/>
      <color theme="4" tint="-0.249977111117893"/>
      <name val="Arial"/>
      <family val="2"/>
    </font>
    <font>
      <sz val="8"/>
      <color theme="0"/>
      <name val="Arial"/>
      <family val="1"/>
      <scheme val="minor"/>
    </font>
    <font>
      <b/>
      <sz val="10"/>
      <name val="Arial"/>
      <family val="2"/>
      <scheme val="major"/>
    </font>
    <font>
      <sz val="10"/>
      <color theme="4"/>
      <name val="Arial"/>
      <family val="1"/>
      <scheme val="minor"/>
    </font>
    <font>
      <b/>
      <sz val="16"/>
      <name val="Arial"/>
      <family val="2"/>
    </font>
    <font>
      <b/>
      <sz val="11"/>
      <color theme="1" tint="0.34998626667073579"/>
      <name val="Arial"/>
      <family val="2"/>
      <charset val="238"/>
      <scheme val="minor"/>
    </font>
    <font>
      <i/>
      <sz val="8"/>
      <name val="Arial"/>
      <family val="2"/>
      <scheme val="minor"/>
    </font>
    <font>
      <sz val="8"/>
      <color theme="4"/>
      <name val="Arial"/>
      <family val="2"/>
      <scheme val="minor"/>
    </font>
    <font>
      <b/>
      <sz val="6"/>
      <name val="Arial"/>
      <family val="2"/>
      <scheme val="minor"/>
    </font>
    <font>
      <b/>
      <sz val="10"/>
      <name val="Arial"/>
      <family val="2"/>
    </font>
    <font>
      <sz val="10"/>
      <name val="Arial"/>
      <family val="2"/>
      <scheme val="minor"/>
    </font>
    <font>
      <sz val="8"/>
      <color theme="0"/>
      <name val="Arial"/>
      <family val="1"/>
    </font>
  </fonts>
  <fills count="22">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bgColor indexed="64"/>
      </patternFill>
    </fill>
    <fill>
      <patternFill patternType="solid">
        <fgColor theme="1" tint="0.34998626667073579"/>
        <bgColor indexed="64"/>
      </patternFill>
    </fill>
    <fill>
      <patternFill patternType="solid">
        <fgColor theme="0" tint="-0.34998626667073579"/>
        <bgColor indexed="64"/>
      </patternFill>
    </fill>
    <fill>
      <patternFill patternType="solid">
        <fgColor rgb="FF3464AB"/>
        <bgColor indexed="64"/>
      </patternFill>
    </fill>
    <fill>
      <patternFill patternType="solid">
        <fgColor rgb="FFDEE8F5"/>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2"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C8F0FF"/>
        <bgColor indexed="64"/>
      </patternFill>
    </fill>
    <fill>
      <patternFill patternType="solid">
        <fgColor rgb="FFF3D9DE"/>
        <bgColor indexed="64"/>
      </patternFill>
    </fill>
    <fill>
      <patternFill patternType="solid">
        <fgColor theme="7" tint="0.39997558519241921"/>
        <bgColor indexed="64"/>
      </patternFill>
    </fill>
    <fill>
      <patternFill patternType="solid">
        <fgColor rgb="FF33CCFF"/>
        <bgColor indexed="64"/>
      </patternFill>
    </fill>
  </fills>
  <borders count="28">
    <border>
      <left/>
      <right/>
      <top/>
      <bottom/>
      <diagonal/>
    </border>
    <border>
      <left style="thin">
        <color theme="4" tint="-0.24994659260841701"/>
      </left>
      <right/>
      <top style="thin">
        <color theme="4" tint="-0.24994659260841701"/>
      </top>
      <bottom/>
      <diagonal/>
    </border>
    <border>
      <left/>
      <right style="thin">
        <color theme="4" tint="-0.24994659260841701"/>
      </right>
      <top style="thin">
        <color theme="4" tint="-0.24994659260841701"/>
      </top>
      <bottom/>
      <diagonal/>
    </border>
    <border>
      <left style="thin">
        <color theme="4" tint="-0.24994659260841701"/>
      </left>
      <right/>
      <top/>
      <bottom/>
      <diagonal/>
    </border>
    <border>
      <left/>
      <right style="thin">
        <color theme="4" tint="-0.24994659260841701"/>
      </right>
      <top/>
      <bottom/>
      <diagonal/>
    </border>
    <border>
      <left style="thin">
        <color theme="4" tint="-0.24994659260841701"/>
      </left>
      <right/>
      <top/>
      <bottom style="thin">
        <color theme="4" tint="-0.24994659260841701"/>
      </bottom>
      <diagonal/>
    </border>
    <border>
      <left/>
      <right style="thin">
        <color theme="4" tint="-0.24994659260841701"/>
      </right>
      <top/>
      <bottom style="thin">
        <color theme="4" tint="-0.24994659260841701"/>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rgb="FF3464AB"/>
      </bottom>
      <diagonal/>
    </border>
    <border>
      <left style="thin">
        <color theme="4" tint="-0.24994659260841701"/>
      </left>
      <right/>
      <top/>
      <bottom style="thin">
        <color indexed="64"/>
      </bottom>
      <diagonal/>
    </border>
    <border>
      <left/>
      <right style="thin">
        <color theme="4" tint="-0.24994659260841701"/>
      </right>
      <top/>
      <bottom style="thin">
        <color indexed="64"/>
      </bottom>
      <diagonal/>
    </border>
    <border>
      <left/>
      <right/>
      <top style="thin">
        <color theme="4" tint="-0.24994659260841701"/>
      </top>
      <bottom/>
      <diagonal/>
    </border>
    <border>
      <left/>
      <right/>
      <top/>
      <bottom style="thin">
        <color theme="4" tint="-0.2499465926084170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theme="4" tint="-0.24994659260841701"/>
      </top>
      <bottom/>
      <diagonal/>
    </border>
    <border>
      <left/>
      <right style="thin">
        <color indexed="64"/>
      </right>
      <top style="thin">
        <color theme="4" tint="-0.24994659260841701"/>
      </top>
      <bottom/>
      <diagonal/>
    </border>
  </borders>
  <cellStyleXfs count="3">
    <xf numFmtId="0" fontId="0" fillId="0" borderId="0"/>
    <xf numFmtId="0" fontId="24" fillId="0" borderId="0" applyNumberFormat="0" applyFill="0" applyBorder="0" applyAlignment="0" applyProtection="0">
      <alignment vertical="top"/>
      <protection locked="0"/>
    </xf>
    <xf numFmtId="164" fontId="52" fillId="0" borderId="0">
      <alignment horizontal="left" indent="1"/>
    </xf>
  </cellStyleXfs>
  <cellXfs count="245">
    <xf numFmtId="0" fontId="0" fillId="0" borderId="0" xfId="0"/>
    <xf numFmtId="0" fontId="2" fillId="0" borderId="0" xfId="0" applyFont="1"/>
    <xf numFmtId="0" fontId="0" fillId="0" borderId="0" xfId="0" applyAlignment="1">
      <alignment vertical="center"/>
    </xf>
    <xf numFmtId="0" fontId="7" fillId="0" borderId="0" xfId="0" applyFont="1"/>
    <xf numFmtId="0" fontId="0" fillId="2" borderId="0" xfId="0" applyFill="1"/>
    <xf numFmtId="0" fontId="8" fillId="0" borderId="0" xfId="0" applyFont="1"/>
    <xf numFmtId="14" fontId="2" fillId="0" borderId="0" xfId="0" applyNumberFormat="1" applyFont="1" applyAlignment="1">
      <alignment horizontal="center"/>
    </xf>
    <xf numFmtId="0" fontId="6" fillId="0" borderId="9" xfId="0" applyFont="1" applyBorder="1"/>
    <xf numFmtId="0" fontId="0" fillId="0" borderId="9" xfId="0" applyBorder="1"/>
    <xf numFmtId="0" fontId="6" fillId="0" borderId="0" xfId="0" applyFont="1"/>
    <xf numFmtId="0" fontId="0" fillId="2" borderId="0" xfId="0" applyFill="1" applyAlignment="1">
      <alignment horizontal="right" vertical="center"/>
    </xf>
    <xf numFmtId="0" fontId="0" fillId="0" borderId="11" xfId="0" applyBorder="1" applyAlignment="1">
      <alignment horizontal="center" vertical="center"/>
    </xf>
    <xf numFmtId="0" fontId="11" fillId="2" borderId="0" xfId="0" applyFont="1" applyFill="1" applyAlignment="1">
      <alignment vertical="center"/>
    </xf>
    <xf numFmtId="0" fontId="0" fillId="2" borderId="0" xfId="0" applyFill="1" applyAlignment="1">
      <alignment vertical="center"/>
    </xf>
    <xf numFmtId="0" fontId="2" fillId="2" borderId="0" xfId="0" applyFont="1" applyFill="1" applyAlignment="1">
      <alignment horizontal="right" vertical="center" indent="1"/>
    </xf>
    <xf numFmtId="0" fontId="14" fillId="5" borderId="0" xfId="0" applyFont="1" applyFill="1"/>
    <xf numFmtId="0" fontId="15" fillId="5" borderId="0" xfId="0" applyFont="1" applyFill="1" applyAlignment="1">
      <alignment horizontal="left" vertical="center"/>
    </xf>
    <xf numFmtId="0" fontId="16" fillId="5" borderId="0" xfId="0" applyFont="1" applyFill="1" applyAlignment="1">
      <alignment horizontal="right"/>
    </xf>
    <xf numFmtId="0" fontId="17" fillId="5" borderId="0" xfId="0" applyFont="1" applyFill="1" applyAlignment="1">
      <alignment horizontal="right" vertical="center"/>
    </xf>
    <xf numFmtId="0" fontId="6" fillId="2" borderId="0" xfId="0" applyFont="1" applyFill="1"/>
    <xf numFmtId="0" fontId="6" fillId="2" borderId="0" xfId="0" applyFont="1" applyFill="1" applyAlignment="1">
      <alignment horizontal="right"/>
    </xf>
    <xf numFmtId="0" fontId="18" fillId="2" borderId="0" xfId="0" applyFont="1" applyFill="1" applyAlignment="1">
      <alignment vertical="top"/>
    </xf>
    <xf numFmtId="0" fontId="18" fillId="2" borderId="0" xfId="0" applyFont="1" applyFill="1" applyAlignment="1">
      <alignment vertical="top" wrapText="1"/>
    </xf>
    <xf numFmtId="0" fontId="18" fillId="2" borderId="0" xfId="0" applyFont="1" applyFill="1" applyAlignment="1">
      <alignment horizontal="left" vertical="top" wrapText="1" indent="1"/>
    </xf>
    <xf numFmtId="0" fontId="6" fillId="0" borderId="0" xfId="0" applyFont="1" applyAlignment="1">
      <alignment horizontal="right"/>
    </xf>
    <xf numFmtId="0" fontId="0" fillId="0" borderId="0" xfId="0" applyAlignment="1">
      <alignment horizontal="right"/>
    </xf>
    <xf numFmtId="0" fontId="6" fillId="0" borderId="12" xfId="0" applyFont="1" applyBorder="1" applyAlignment="1">
      <alignment horizontal="center"/>
    </xf>
    <xf numFmtId="0" fontId="19" fillId="0" borderId="0" xfId="0" applyFont="1"/>
    <xf numFmtId="0" fontId="20" fillId="6" borderId="0" xfId="0" applyFont="1" applyFill="1" applyAlignment="1">
      <alignment horizontal="left" vertical="center"/>
    </xf>
    <xf numFmtId="0" fontId="6" fillId="6" borderId="0" xfId="0" applyFont="1" applyFill="1" applyAlignment="1">
      <alignment vertical="center"/>
    </xf>
    <xf numFmtId="0" fontId="6" fillId="6" borderId="0" xfId="0" applyFont="1" applyFill="1" applyAlignment="1">
      <alignment horizontal="center" vertical="center"/>
    </xf>
    <xf numFmtId="167" fontId="18" fillId="6" borderId="0" xfId="0" applyNumberFormat="1" applyFont="1" applyFill="1" applyAlignment="1">
      <alignment horizontal="right" vertical="center"/>
    </xf>
    <xf numFmtId="0" fontId="6" fillId="3" borderId="13" xfId="0" applyFont="1" applyFill="1" applyBorder="1" applyAlignment="1">
      <alignment horizontal="left" vertical="center"/>
    </xf>
    <xf numFmtId="0" fontId="6" fillId="3" borderId="13" xfId="0" applyFont="1" applyFill="1" applyBorder="1" applyAlignment="1">
      <alignment horizontal="center" vertical="center"/>
    </xf>
    <xf numFmtId="167" fontId="18" fillId="3" borderId="13" xfId="0" applyNumberFormat="1" applyFont="1" applyFill="1" applyBorder="1" applyAlignment="1">
      <alignment horizontal="center" vertical="center"/>
    </xf>
    <xf numFmtId="0" fontId="6" fillId="0" borderId="0" xfId="0" applyFont="1" applyAlignment="1">
      <alignment horizontal="center"/>
    </xf>
    <xf numFmtId="167" fontId="18" fillId="2" borderId="0" xfId="0" applyNumberFormat="1" applyFont="1" applyFill="1" applyAlignment="1">
      <alignment horizontal="right"/>
    </xf>
    <xf numFmtId="14" fontId="18" fillId="2" borderId="0" xfId="0" applyNumberFormat="1" applyFont="1" applyFill="1" applyAlignment="1">
      <alignment horizontal="right"/>
    </xf>
    <xf numFmtId="0" fontId="21" fillId="0" borderId="0" xfId="0" applyFont="1"/>
    <xf numFmtId="0" fontId="18" fillId="0" borderId="0" xfId="0" applyFont="1" applyAlignment="1">
      <alignment horizontal="right"/>
    </xf>
    <xf numFmtId="167" fontId="18" fillId="6" borderId="0" xfId="0" applyNumberFormat="1" applyFont="1" applyFill="1" applyAlignment="1">
      <alignment horizontal="left" vertical="center"/>
    </xf>
    <xf numFmtId="0" fontId="0" fillId="0" borderId="0" xfId="0" applyAlignment="1">
      <alignment horizontal="center"/>
    </xf>
    <xf numFmtId="0" fontId="2" fillId="2" borderId="0" xfId="0" applyFont="1" applyFill="1" applyAlignment="1">
      <alignment horizontal="right" vertical="center"/>
    </xf>
    <xf numFmtId="0" fontId="18" fillId="2" borderId="0" xfId="0" applyFont="1" applyFill="1" applyAlignment="1">
      <alignment horizontal="right" vertical="center"/>
    </xf>
    <xf numFmtId="0" fontId="9" fillId="2" borderId="0" xfId="0" applyFont="1" applyFill="1" applyAlignment="1">
      <alignment horizontal="left" vertical="center"/>
    </xf>
    <xf numFmtId="0" fontId="1" fillId="2" borderId="0" xfId="0" applyFont="1" applyFill="1"/>
    <xf numFmtId="0" fontId="3" fillId="2" borderId="0" xfId="0" applyFont="1" applyFill="1" applyAlignment="1">
      <alignment horizontal="right"/>
    </xf>
    <xf numFmtId="0" fontId="3" fillId="2" borderId="0" xfId="0" applyFont="1" applyFill="1" applyAlignment="1">
      <alignment horizontal="right" vertical="center"/>
    </xf>
    <xf numFmtId="0" fontId="6" fillId="3" borderId="13" xfId="0" applyFont="1" applyFill="1" applyBorder="1" applyAlignment="1">
      <alignment horizontal="center" vertical="center" shrinkToFit="1"/>
    </xf>
    <xf numFmtId="0" fontId="24" fillId="2" borderId="0" xfId="1" applyFill="1" applyAlignment="1" applyProtection="1">
      <alignment horizontal="right" indent="1"/>
    </xf>
    <xf numFmtId="164" fontId="26" fillId="0" borderId="1" xfId="0" applyNumberFormat="1" applyFont="1" applyBorder="1" applyAlignment="1">
      <alignment horizontal="center" vertical="center" shrinkToFit="1"/>
    </xf>
    <xf numFmtId="0" fontId="13" fillId="0" borderId="0" xfId="0" applyFont="1" applyAlignment="1">
      <alignment horizontal="left" indent="1"/>
    </xf>
    <xf numFmtId="0" fontId="28" fillId="0" borderId="2" xfId="0" applyFont="1" applyBorder="1" applyAlignment="1">
      <alignment horizontal="left" vertical="center" shrinkToFit="1"/>
    </xf>
    <xf numFmtId="0" fontId="29" fillId="0" borderId="0" xfId="0" applyFont="1" applyAlignment="1">
      <alignment vertical="center"/>
    </xf>
    <xf numFmtId="0" fontId="29" fillId="0" borderId="0" xfId="0" applyFont="1"/>
    <xf numFmtId="165" fontId="30" fillId="0" borderId="0" xfId="0" applyNumberFormat="1" applyFont="1"/>
    <xf numFmtId="0" fontId="31" fillId="0" borderId="0" xfId="0" applyFont="1"/>
    <xf numFmtId="0" fontId="0" fillId="0" borderId="0" xfId="0" applyAlignment="1">
      <alignment horizontal="left"/>
    </xf>
    <xf numFmtId="0" fontId="27" fillId="0" borderId="0" xfId="0" applyFont="1" applyAlignment="1">
      <alignment horizontal="left" vertical="center"/>
    </xf>
    <xf numFmtId="0" fontId="7" fillId="0" borderId="0" xfId="0" applyFont="1" applyAlignment="1">
      <alignment horizontal="left" indent="1"/>
    </xf>
    <xf numFmtId="0" fontId="33" fillId="0" borderId="0" xfId="0" applyFont="1" applyAlignment="1">
      <alignment horizontal="right"/>
    </xf>
    <xf numFmtId="167" fontId="18" fillId="3" borderId="0" xfId="0" applyNumberFormat="1" applyFont="1" applyFill="1" applyAlignment="1">
      <alignment horizontal="right"/>
    </xf>
    <xf numFmtId="0" fontId="34" fillId="7" borderId="14" xfId="0" applyFont="1" applyFill="1" applyBorder="1" applyAlignment="1">
      <alignment horizontal="left" vertical="center"/>
    </xf>
    <xf numFmtId="0" fontId="34" fillId="7" borderId="14" xfId="0" applyFont="1" applyFill="1" applyBorder="1" applyAlignment="1">
      <alignment horizontal="left" vertical="top"/>
    </xf>
    <xf numFmtId="0" fontId="24" fillId="0" borderId="0" xfId="1" applyAlignment="1" applyProtection="1">
      <alignment horizontal="left" vertical="top"/>
    </xf>
    <xf numFmtId="0" fontId="0" fillId="0" borderId="0" xfId="0" applyAlignment="1">
      <alignment vertical="top"/>
    </xf>
    <xf numFmtId="0" fontId="35" fillId="0" borderId="0" xfId="0" applyFont="1" applyAlignment="1">
      <alignment horizontal="right" vertical="center"/>
    </xf>
    <xf numFmtId="0" fontId="5" fillId="0" borderId="10" xfId="0" applyFont="1" applyBorder="1" applyAlignment="1">
      <alignment horizontal="left" vertical="top" wrapText="1"/>
    </xf>
    <xf numFmtId="0" fontId="36" fillId="8" borderId="0" xfId="0" applyFont="1" applyFill="1" applyAlignment="1">
      <alignment vertical="center"/>
    </xf>
    <xf numFmtId="0" fontId="37" fillId="8" borderId="0" xfId="0" applyFont="1" applyFill="1" applyAlignment="1">
      <alignment vertical="top"/>
    </xf>
    <xf numFmtId="0" fontId="38" fillId="8" borderId="0" xfId="0" applyFont="1" applyFill="1" applyAlignment="1">
      <alignment vertical="center"/>
    </xf>
    <xf numFmtId="0" fontId="12" fillId="0" borderId="9" xfId="0" applyFont="1" applyBorder="1" applyAlignment="1">
      <alignment horizontal="left" vertical="top" wrapText="1"/>
    </xf>
    <xf numFmtId="0" fontId="6" fillId="0" borderId="9" xfId="0" applyFont="1" applyBorder="1" applyAlignment="1">
      <alignment vertical="top"/>
    </xf>
    <xf numFmtId="0" fontId="0" fillId="0" borderId="9" xfId="0" applyBorder="1" applyAlignment="1">
      <alignment vertical="top"/>
    </xf>
    <xf numFmtId="0" fontId="20" fillId="0" borderId="9" xfId="0" applyFont="1" applyBorder="1" applyAlignment="1">
      <alignment horizontal="left" vertical="top" wrapText="1"/>
    </xf>
    <xf numFmtId="0" fontId="6" fillId="0" borderId="0" xfId="0" applyFont="1" applyAlignment="1">
      <alignment vertical="top"/>
    </xf>
    <xf numFmtId="0" fontId="37" fillId="8" borderId="0" xfId="0" applyFont="1" applyFill="1" applyAlignment="1">
      <alignment vertical="center"/>
    </xf>
    <xf numFmtId="0" fontId="39" fillId="0" borderId="0" xfId="1" applyFont="1" applyAlignment="1" applyProtection="1">
      <alignment horizontal="left"/>
    </xf>
    <xf numFmtId="0" fontId="12" fillId="0" borderId="0" xfId="0" applyFont="1"/>
    <xf numFmtId="0" fontId="34" fillId="7" borderId="14" xfId="0" applyFont="1" applyFill="1" applyBorder="1" applyAlignment="1">
      <alignment horizontal="left" vertical="center" indent="1"/>
    </xf>
    <xf numFmtId="0" fontId="40" fillId="7" borderId="14" xfId="0" applyFont="1" applyFill="1" applyBorder="1" applyAlignment="1">
      <alignment vertical="center"/>
    </xf>
    <xf numFmtId="0" fontId="6" fillId="9" borderId="0" xfId="0" applyFont="1" applyFill="1"/>
    <xf numFmtId="0" fontId="5" fillId="9" borderId="0" xfId="0" applyFont="1" applyFill="1" applyAlignment="1">
      <alignment horizontal="left" wrapText="1" indent="1"/>
    </xf>
    <xf numFmtId="0" fontId="12" fillId="9" borderId="0" xfId="0" applyFont="1" applyFill="1"/>
    <xf numFmtId="0" fontId="5" fillId="9" borderId="0" xfId="0" applyFont="1" applyFill="1"/>
    <xf numFmtId="0" fontId="24" fillId="9" borderId="0" xfId="1" applyFill="1" applyAlignment="1" applyProtection="1">
      <alignment horizontal="left" wrapText="1"/>
    </xf>
    <xf numFmtId="0" fontId="5" fillId="9" borderId="0" xfId="0" applyFont="1" applyFill="1" applyAlignment="1">
      <alignment horizontal="left" wrapText="1"/>
    </xf>
    <xf numFmtId="0" fontId="4" fillId="9" borderId="0" xfId="0" applyFont="1" applyFill="1" applyAlignment="1">
      <alignment horizontal="left" wrapText="1"/>
    </xf>
    <xf numFmtId="0" fontId="10" fillId="9" borderId="0" xfId="0" applyFont="1" applyFill="1" applyAlignment="1">
      <alignment horizontal="left" wrapText="1"/>
    </xf>
    <xf numFmtId="0" fontId="5" fillId="9" borderId="0" xfId="0" applyFont="1" applyFill="1" applyAlignment="1">
      <alignment horizontal="left"/>
    </xf>
    <xf numFmtId="0" fontId="41" fillId="9" borderId="0" xfId="0" applyFont="1" applyFill="1" applyAlignment="1">
      <alignment horizontal="left" wrapText="1"/>
    </xf>
    <xf numFmtId="164" fontId="26" fillId="10" borderId="1" xfId="0" applyNumberFormat="1" applyFont="1" applyFill="1" applyBorder="1" applyAlignment="1">
      <alignment horizontal="center" vertical="center" shrinkToFit="1"/>
    </xf>
    <xf numFmtId="0" fontId="42" fillId="10" borderId="2" xfId="0" applyFont="1" applyFill="1" applyBorder="1" applyAlignment="1">
      <alignment horizontal="center" vertical="center" shrinkToFit="1"/>
    </xf>
    <xf numFmtId="164" fontId="26" fillId="0" borderId="0" xfId="0" applyNumberFormat="1" applyFont="1" applyAlignment="1">
      <alignment horizontal="center" vertical="center" shrinkToFit="1"/>
    </xf>
    <xf numFmtId="0" fontId="28" fillId="0" borderId="0" xfId="0" applyFont="1" applyAlignment="1">
      <alignment horizontal="left" vertical="center" shrinkToFit="1"/>
    </xf>
    <xf numFmtId="0" fontId="7" fillId="0" borderId="0" xfId="0" applyFont="1" applyAlignment="1">
      <alignment horizontal="center" vertical="center" shrinkToFit="1"/>
    </xf>
    <xf numFmtId="166" fontId="43" fillId="4" borderId="7" xfId="0" applyNumberFormat="1" applyFont="1" applyFill="1" applyBorder="1" applyAlignment="1">
      <alignment horizontal="center" vertical="center"/>
    </xf>
    <xf numFmtId="0" fontId="42" fillId="0" borderId="2" xfId="0" applyFont="1" applyBorder="1" applyAlignment="1">
      <alignment horizontal="center" vertical="center" shrinkToFit="1"/>
    </xf>
    <xf numFmtId="0" fontId="42" fillId="0" borderId="2" xfId="0" applyFont="1" applyBorder="1" applyAlignment="1">
      <alignment horizontal="left" vertical="center" shrinkToFit="1"/>
    </xf>
    <xf numFmtId="0" fontId="42" fillId="0" borderId="2" xfId="0" applyFont="1" applyBorder="1" applyAlignment="1">
      <alignment horizontal="right" vertical="center" shrinkToFit="1"/>
    </xf>
    <xf numFmtId="0" fontId="45" fillId="0" borderId="0" xfId="0" applyFont="1"/>
    <xf numFmtId="0" fontId="46" fillId="0" borderId="0" xfId="0" applyFont="1"/>
    <xf numFmtId="164" fontId="49" fillId="0" borderId="1" xfId="0" applyNumberFormat="1" applyFont="1" applyBorder="1" applyAlignment="1">
      <alignment horizontal="center" vertical="center" shrinkToFit="1"/>
    </xf>
    <xf numFmtId="0" fontId="50" fillId="0" borderId="2" xfId="0" applyFont="1" applyBorder="1" applyAlignment="1">
      <alignment horizontal="left" vertical="center" shrinkToFit="1"/>
    </xf>
    <xf numFmtId="164" fontId="26" fillId="0" borderId="3" xfId="0" applyNumberFormat="1" applyFont="1" applyBorder="1" applyAlignment="1">
      <alignment horizontal="center" vertical="center" shrinkToFit="1"/>
    </xf>
    <xf numFmtId="0" fontId="28" fillId="0" borderId="4" xfId="0" applyFont="1" applyBorder="1" applyAlignment="1">
      <alignment horizontal="left" vertical="center" shrinkToFit="1"/>
    </xf>
    <xf numFmtId="0" fontId="51" fillId="0" borderId="0" xfId="0" applyFont="1" applyAlignment="1">
      <alignment horizontal="left" vertical="center"/>
    </xf>
    <xf numFmtId="164" fontId="26" fillId="16" borderId="1" xfId="0" applyNumberFormat="1" applyFont="1" applyFill="1" applyBorder="1" applyAlignment="1">
      <alignment horizontal="center" vertical="center" shrinkToFit="1"/>
    </xf>
    <xf numFmtId="0" fontId="42" fillId="16" borderId="2" xfId="0" applyFont="1" applyFill="1" applyBorder="1" applyAlignment="1">
      <alignment horizontal="center" vertical="center" shrinkToFit="1"/>
    </xf>
    <xf numFmtId="164" fontId="26" fillId="17" borderId="1" xfId="0" applyNumberFormat="1" applyFont="1" applyFill="1" applyBorder="1" applyAlignment="1">
      <alignment horizontal="center" vertical="center" shrinkToFit="1"/>
    </xf>
    <xf numFmtId="0" fontId="42" fillId="17" borderId="2" xfId="0" applyFont="1" applyFill="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0" fontId="54" fillId="0" borderId="2" xfId="0" applyFont="1" applyBorder="1" applyAlignment="1">
      <alignment horizontal="center" vertical="center" shrinkToFit="1"/>
    </xf>
    <xf numFmtId="164" fontId="26" fillId="0" borderId="17" xfId="0" applyNumberFormat="1" applyFont="1" applyBorder="1" applyAlignment="1">
      <alignment horizontal="center" vertical="center" shrinkToFit="1"/>
    </xf>
    <xf numFmtId="164" fontId="26" fillId="0" borderId="19" xfId="0" applyNumberFormat="1" applyFont="1" applyBorder="1" applyAlignment="1">
      <alignment horizontal="center" vertical="center" shrinkToFit="1"/>
    </xf>
    <xf numFmtId="0" fontId="28" fillId="0" borderId="20" xfId="0" applyFont="1" applyBorder="1" applyAlignment="1">
      <alignment horizontal="left" vertical="center" shrinkToFit="1"/>
    </xf>
    <xf numFmtId="0" fontId="28" fillId="0" borderId="25" xfId="0" applyFont="1" applyBorder="1" applyAlignment="1">
      <alignment horizontal="left" vertical="center" shrinkToFit="1"/>
    </xf>
    <xf numFmtId="164" fontId="26" fillId="0" borderId="25" xfId="0" applyNumberFormat="1" applyFont="1" applyBorder="1" applyAlignment="1">
      <alignment horizontal="center" vertical="center" shrinkToFit="1"/>
    </xf>
    <xf numFmtId="0" fontId="42" fillId="0" borderId="17" xfId="0" applyFont="1" applyBorder="1" applyAlignment="1">
      <alignment horizontal="center" vertical="center" shrinkToFit="1"/>
    </xf>
    <xf numFmtId="0" fontId="42" fillId="0" borderId="20" xfId="0" applyFont="1" applyBorder="1" applyAlignment="1">
      <alignment horizontal="center" vertical="center" shrinkToFit="1"/>
    </xf>
    <xf numFmtId="0" fontId="28" fillId="0" borderId="17" xfId="0" applyFont="1" applyBorder="1" applyAlignment="1">
      <alignment horizontal="left" vertical="center" shrinkToFit="1"/>
    </xf>
    <xf numFmtId="164" fontId="26" fillId="0" borderId="26" xfId="0" applyNumberFormat="1" applyFont="1" applyBorder="1" applyAlignment="1">
      <alignment horizontal="center" vertical="center" shrinkToFit="1"/>
    </xf>
    <xf numFmtId="0" fontId="28" fillId="0" borderId="27" xfId="0" applyFont="1" applyBorder="1" applyAlignment="1">
      <alignment horizontal="left" vertical="center" shrinkToFit="1"/>
    </xf>
    <xf numFmtId="164" fontId="26" fillId="10" borderId="19" xfId="0" applyNumberFormat="1" applyFont="1" applyFill="1" applyBorder="1" applyAlignment="1">
      <alignment horizontal="center" vertical="center" shrinkToFit="1"/>
    </xf>
    <xf numFmtId="0" fontId="42" fillId="10" borderId="20" xfId="0" applyFont="1" applyFill="1" applyBorder="1" applyAlignment="1">
      <alignment horizontal="center" vertical="center" shrinkToFit="1"/>
    </xf>
    <xf numFmtId="164" fontId="26" fillId="2" borderId="1" xfId="0" applyNumberFormat="1" applyFont="1" applyFill="1" applyBorder="1" applyAlignment="1">
      <alignment horizontal="center" vertical="center" shrinkToFit="1"/>
    </xf>
    <xf numFmtId="164" fontId="26" fillId="9" borderId="1" xfId="0" applyNumberFormat="1" applyFont="1" applyFill="1" applyBorder="1" applyAlignment="1">
      <alignment horizontal="center" vertical="center" shrinkToFit="1"/>
    </xf>
    <xf numFmtId="0" fontId="42" fillId="9" borderId="2" xfId="0" applyFont="1" applyFill="1" applyBorder="1" applyAlignment="1">
      <alignment horizontal="center" vertical="center" shrinkToFit="1"/>
    </xf>
    <xf numFmtId="0" fontId="42" fillId="0" borderId="4" xfId="0" applyFont="1" applyBorder="1" applyAlignment="1">
      <alignment horizontal="left" vertical="center" shrinkToFit="1"/>
    </xf>
    <xf numFmtId="0" fontId="49" fillId="2" borderId="0" xfId="0" applyFont="1" applyFill="1" applyAlignment="1">
      <alignment horizontal="left" vertical="center"/>
    </xf>
    <xf numFmtId="0" fontId="56" fillId="0" borderId="0" xfId="0" applyFont="1" applyAlignment="1">
      <alignment horizontal="left" vertical="center"/>
    </xf>
    <xf numFmtId="164" fontId="49" fillId="0" borderId="0" xfId="0" applyNumberFormat="1" applyFont="1" applyAlignment="1">
      <alignment horizontal="center" vertical="center" shrinkToFit="1"/>
    </xf>
    <xf numFmtId="0" fontId="57" fillId="0" borderId="0" xfId="0" applyFont="1" applyAlignment="1">
      <alignment horizontal="center" vertical="center" shrinkToFit="1"/>
    </xf>
    <xf numFmtId="0" fontId="45" fillId="0" borderId="0" xfId="0" applyFont="1" applyAlignment="1">
      <alignment horizontal="left"/>
    </xf>
    <xf numFmtId="0" fontId="46" fillId="0" borderId="0" xfId="0" applyFont="1" applyAlignment="1">
      <alignment horizontal="left"/>
    </xf>
    <xf numFmtId="166" fontId="43" fillId="4" borderId="7" xfId="0" applyNumberFormat="1" applyFont="1" applyFill="1" applyBorder="1" applyAlignment="1">
      <alignment horizontal="left" vertical="center"/>
    </xf>
    <xf numFmtId="164" fontId="49" fillId="10" borderId="1" xfId="0" applyNumberFormat="1" applyFont="1" applyFill="1" applyBorder="1" applyAlignment="1">
      <alignment horizontal="center" vertical="center" shrinkToFit="1"/>
    </xf>
    <xf numFmtId="0" fontId="42" fillId="2" borderId="2" xfId="0" applyFont="1" applyFill="1" applyBorder="1" applyAlignment="1">
      <alignment horizontal="center" vertical="center" shrinkToFit="1"/>
    </xf>
    <xf numFmtId="0" fontId="48" fillId="9" borderId="0" xfId="0" applyFont="1" applyFill="1"/>
    <xf numFmtId="0" fontId="58" fillId="9" borderId="0" xfId="0" applyFont="1" applyFill="1"/>
    <xf numFmtId="0" fontId="58" fillId="9" borderId="0" xfId="0" applyFont="1" applyFill="1" applyAlignment="1">
      <alignment horizontal="right"/>
    </xf>
    <xf numFmtId="165" fontId="32" fillId="0" borderId="0" xfId="0" applyNumberFormat="1" applyFont="1" applyAlignment="1">
      <alignment horizontal="right"/>
    </xf>
    <xf numFmtId="168" fontId="32" fillId="0" borderId="0" xfId="0" applyNumberFormat="1" applyFont="1" applyAlignment="1">
      <alignment horizontal="center" vertical="center" textRotation="90"/>
    </xf>
    <xf numFmtId="166" fontId="25" fillId="4" borderId="7" xfId="0" applyNumberFormat="1" applyFont="1" applyFill="1" applyBorder="1" applyAlignment="1">
      <alignment horizontal="center" vertical="center"/>
    </xf>
    <xf numFmtId="166" fontId="25" fillId="4" borderId="8" xfId="0" applyNumberFormat="1" applyFont="1" applyFill="1" applyBorder="1" applyAlignment="1">
      <alignment horizontal="center" vertical="center"/>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0" fontId="53" fillId="10" borderId="3" xfId="0" applyFont="1" applyFill="1" applyBorder="1" applyAlignment="1">
      <alignment horizontal="center" vertical="center" shrinkToFit="1"/>
    </xf>
    <xf numFmtId="0" fontId="53" fillId="10" borderId="4" xfId="0" applyFont="1" applyFill="1" applyBorder="1" applyAlignment="1">
      <alignment horizontal="center" vertical="center" shrinkToFit="1"/>
    </xf>
    <xf numFmtId="0" fontId="47" fillId="0" borderId="0" xfId="0" applyFont="1" applyAlignment="1">
      <alignment horizontal="center" vertical="center"/>
    </xf>
    <xf numFmtId="0" fontId="7" fillId="10" borderId="3" xfId="0" applyFont="1" applyFill="1" applyBorder="1" applyAlignment="1">
      <alignment horizontal="center" vertical="center" shrinkToFit="1"/>
    </xf>
    <xf numFmtId="0" fontId="7" fillId="10" borderId="4" xfId="0" applyFont="1" applyFill="1" applyBorder="1" applyAlignment="1">
      <alignment horizontal="center" vertical="center" shrinkToFit="1"/>
    </xf>
    <xf numFmtId="0" fontId="53" fillId="18" borderId="3" xfId="0" applyFont="1" applyFill="1" applyBorder="1" applyAlignment="1">
      <alignment horizontal="center" vertical="center" shrinkToFit="1"/>
    </xf>
    <xf numFmtId="0" fontId="53" fillId="18" borderId="4" xfId="0" applyFont="1" applyFill="1" applyBorder="1" applyAlignment="1">
      <alignment horizontal="center" vertical="center" shrinkToFit="1"/>
    </xf>
    <xf numFmtId="0" fontId="53" fillId="2" borderId="0" xfId="0" applyFont="1" applyFill="1" applyAlignment="1">
      <alignment horizontal="center" vertical="center" shrinkToFit="1"/>
    </xf>
    <xf numFmtId="0" fontId="53" fillId="2" borderId="21" xfId="0" applyFont="1" applyFill="1" applyBorder="1" applyAlignment="1">
      <alignment horizontal="center" vertical="center" shrinkToFit="1"/>
    </xf>
    <xf numFmtId="0" fontId="53" fillId="2" borderId="22" xfId="0" applyFont="1" applyFill="1" applyBorder="1" applyAlignment="1">
      <alignment horizontal="center" vertical="center" shrinkToFit="1"/>
    </xf>
    <xf numFmtId="0" fontId="48" fillId="13" borderId="3" xfId="0" applyFont="1" applyFill="1" applyBorder="1" applyAlignment="1">
      <alignment horizontal="center" vertical="center" shrinkToFit="1"/>
    </xf>
    <xf numFmtId="0" fontId="48" fillId="13" borderId="0" xfId="0" applyFont="1" applyFill="1" applyAlignment="1">
      <alignment horizontal="center" vertical="center" shrinkToFit="1"/>
    </xf>
    <xf numFmtId="0" fontId="7" fillId="11" borderId="21" xfId="0" applyFont="1" applyFill="1" applyBorder="1" applyAlignment="1">
      <alignment horizontal="center" vertical="center" shrinkToFit="1"/>
    </xf>
    <xf numFmtId="0" fontId="7" fillId="11" borderId="22" xfId="0" applyFont="1" applyFill="1" applyBorder="1" applyAlignment="1">
      <alignment horizontal="center" vertical="center" shrinkToFit="1"/>
    </xf>
    <xf numFmtId="0" fontId="7" fillId="11" borderId="0" xfId="0" applyFont="1" applyFill="1" applyAlignment="1">
      <alignment horizontal="center" vertical="center" shrinkToFit="1"/>
    </xf>
    <xf numFmtId="0" fontId="7" fillId="0" borderId="21" xfId="0" applyFont="1" applyBorder="1" applyAlignment="1">
      <alignment horizontal="center" vertical="center" shrinkToFit="1"/>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12" borderId="0" xfId="0" applyFont="1" applyFill="1" applyAlignment="1">
      <alignment horizontal="center" vertical="center" shrinkToFit="1"/>
    </xf>
    <xf numFmtId="0" fontId="7" fillId="12" borderId="4" xfId="0" applyFont="1" applyFill="1" applyBorder="1" applyAlignment="1">
      <alignment horizontal="center" vertical="center" shrinkToFit="1"/>
    </xf>
    <xf numFmtId="0" fontId="53" fillId="9" borderId="21" xfId="0" applyFont="1" applyFill="1" applyBorder="1" applyAlignment="1">
      <alignment horizontal="center" vertical="center" shrinkToFit="1"/>
    </xf>
    <xf numFmtId="0" fontId="53" fillId="9" borderId="0" xfId="0" applyFont="1" applyFill="1" applyAlignment="1">
      <alignment horizontal="center" vertical="center" shrinkToFit="1"/>
    </xf>
    <xf numFmtId="0" fontId="53" fillId="2" borderId="4" xfId="0" applyFont="1" applyFill="1" applyBorder="1" applyAlignment="1">
      <alignment horizontal="center" vertical="center" shrinkToFit="1"/>
    </xf>
    <xf numFmtId="0" fontId="7" fillId="9" borderId="21" xfId="0" applyFont="1" applyFill="1" applyBorder="1" applyAlignment="1">
      <alignment horizontal="center" vertical="center" shrinkToFit="1"/>
    </xf>
    <xf numFmtId="0" fontId="7" fillId="9" borderId="0" xfId="0" applyFont="1" applyFill="1" applyAlignment="1">
      <alignment horizontal="center" vertical="center" shrinkToFit="1"/>
    </xf>
    <xf numFmtId="0" fontId="7" fillId="11" borderId="4" xfId="0" applyFont="1" applyFill="1" applyBorder="1" applyAlignment="1">
      <alignment horizontal="center" vertical="center" shrinkToFit="1"/>
    </xf>
    <xf numFmtId="0" fontId="7" fillId="0" borderId="23" xfId="0" applyFont="1" applyBorder="1" applyAlignment="1">
      <alignment horizontal="center" vertical="center" shrinkToFit="1"/>
    </xf>
    <xf numFmtId="0" fontId="7" fillId="0" borderId="13"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16" xfId="0" applyFont="1" applyBorder="1" applyAlignment="1">
      <alignment horizontal="center" vertical="center" shrinkToFit="1"/>
    </xf>
    <xf numFmtId="0" fontId="29" fillId="20" borderId="3" xfId="0" applyFont="1" applyFill="1" applyBorder="1" applyAlignment="1">
      <alignment horizontal="center" vertical="center"/>
    </xf>
    <xf numFmtId="0" fontId="29" fillId="20" borderId="4" xfId="0" applyFont="1" applyFill="1" applyBorder="1" applyAlignment="1">
      <alignment horizontal="center" vertical="center"/>
    </xf>
    <xf numFmtId="0" fontId="7" fillId="0" borderId="5"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18" xfId="0" applyFont="1" applyBorder="1" applyAlignment="1">
      <alignment horizontal="center" vertical="center" shrinkToFit="1"/>
    </xf>
    <xf numFmtId="0" fontId="47" fillId="0" borderId="17" xfId="0" applyFont="1" applyBorder="1" applyAlignment="1">
      <alignment horizontal="center" vertical="center" wrapText="1"/>
    </xf>
    <xf numFmtId="0" fontId="47" fillId="0" borderId="0" xfId="0" applyFont="1" applyAlignment="1">
      <alignment horizontal="center" vertical="center" wrapText="1"/>
    </xf>
    <xf numFmtId="0" fontId="53" fillId="16" borderId="21" xfId="0" applyFont="1" applyFill="1" applyBorder="1" applyAlignment="1">
      <alignment horizontal="center" vertical="center" shrinkToFit="1"/>
    </xf>
    <xf numFmtId="0" fontId="53" fillId="16" borderId="22" xfId="0" applyFont="1" applyFill="1" applyBorder="1" applyAlignment="1">
      <alignment horizontal="center" vertical="center" shrinkToFit="1"/>
    </xf>
    <xf numFmtId="0" fontId="7" fillId="15" borderId="3" xfId="0" applyFont="1" applyFill="1" applyBorder="1" applyAlignment="1">
      <alignment horizontal="center" vertical="center" shrinkToFit="1"/>
    </xf>
    <xf numFmtId="0" fontId="7" fillId="15" borderId="4" xfId="0" applyFont="1" applyFill="1" applyBorder="1" applyAlignment="1">
      <alignment horizontal="center" vertical="center" shrinkToFit="1"/>
    </xf>
    <xf numFmtId="0" fontId="7" fillId="16" borderId="21" xfId="0" applyFont="1" applyFill="1" applyBorder="1" applyAlignment="1">
      <alignment horizontal="center" vertical="center" shrinkToFit="1"/>
    </xf>
    <xf numFmtId="0" fontId="7" fillId="16" borderId="22" xfId="0" applyFont="1" applyFill="1" applyBorder="1" applyAlignment="1">
      <alignment horizontal="center" vertical="center" shrinkToFit="1"/>
    </xf>
    <xf numFmtId="0" fontId="7" fillId="16" borderId="3" xfId="0" applyFont="1" applyFill="1" applyBorder="1" applyAlignment="1">
      <alignment horizontal="center" vertical="center" shrinkToFit="1"/>
    </xf>
    <xf numFmtId="0" fontId="7" fillId="16" borderId="4" xfId="0" applyFont="1" applyFill="1" applyBorder="1" applyAlignment="1">
      <alignment horizontal="center" vertical="center" shrinkToFit="1"/>
    </xf>
    <xf numFmtId="0" fontId="7" fillId="12" borderId="3" xfId="0" applyFont="1" applyFill="1" applyBorder="1" applyAlignment="1">
      <alignment horizontal="center" vertical="center" shrinkToFit="1"/>
    </xf>
    <xf numFmtId="0" fontId="7" fillId="9" borderId="3" xfId="0" applyFont="1" applyFill="1" applyBorder="1" applyAlignment="1">
      <alignment horizontal="center" vertical="center" shrinkToFit="1"/>
    </xf>
    <xf numFmtId="0" fontId="7" fillId="9" borderId="4" xfId="0" applyFont="1" applyFill="1" applyBorder="1" applyAlignment="1">
      <alignment horizontal="center" vertical="center" shrinkToFit="1"/>
    </xf>
    <xf numFmtId="0" fontId="7" fillId="14" borderId="3" xfId="0" applyFont="1" applyFill="1" applyBorder="1" applyAlignment="1">
      <alignment horizontal="center" vertical="center" shrinkToFit="1"/>
    </xf>
    <xf numFmtId="0" fontId="7" fillId="14" borderId="4" xfId="0" applyFont="1" applyFill="1" applyBorder="1" applyAlignment="1">
      <alignment horizontal="center" vertical="center" shrinkToFit="1"/>
    </xf>
    <xf numFmtId="0" fontId="47" fillId="0" borderId="17" xfId="0" applyFont="1" applyBorder="1" applyAlignment="1">
      <alignment horizontal="center" vertical="center"/>
    </xf>
    <xf numFmtId="0" fontId="53" fillId="16" borderId="0" xfId="0" applyFont="1" applyFill="1" applyAlignment="1">
      <alignment horizontal="center" vertical="center" shrinkToFit="1"/>
    </xf>
    <xf numFmtId="0" fontId="7" fillId="16" borderId="0" xfId="0" applyFont="1" applyFill="1" applyAlignment="1">
      <alignment horizontal="center" vertical="center" shrinkToFit="1"/>
    </xf>
    <xf numFmtId="0" fontId="53" fillId="9" borderId="22" xfId="0" applyFont="1" applyFill="1" applyBorder="1" applyAlignment="1">
      <alignment horizontal="center" vertical="center" shrinkToFit="1"/>
    </xf>
    <xf numFmtId="0" fontId="7" fillId="9" borderId="22" xfId="0" applyFont="1" applyFill="1" applyBorder="1" applyAlignment="1">
      <alignment horizontal="center" vertical="center" shrinkToFit="1"/>
    </xf>
    <xf numFmtId="0" fontId="7" fillId="20" borderId="3" xfId="0" applyFont="1" applyFill="1" applyBorder="1" applyAlignment="1">
      <alignment horizontal="center" vertical="center" shrinkToFit="1"/>
    </xf>
    <xf numFmtId="0" fontId="7" fillId="20" borderId="4" xfId="0" applyFont="1" applyFill="1" applyBorder="1" applyAlignment="1">
      <alignment horizontal="center" vertical="center" shrinkToFit="1"/>
    </xf>
    <xf numFmtId="0" fontId="7" fillId="10" borderId="21" xfId="0" applyFont="1" applyFill="1" applyBorder="1" applyAlignment="1">
      <alignment horizontal="center" vertical="center" shrinkToFit="1"/>
    </xf>
    <xf numFmtId="0" fontId="7" fillId="10" borderId="22" xfId="0" applyFont="1" applyFill="1" applyBorder="1" applyAlignment="1">
      <alignment horizontal="center" vertical="center" shrinkToFit="1"/>
    </xf>
    <xf numFmtId="0" fontId="7" fillId="10" borderId="23" xfId="0" applyFont="1" applyFill="1" applyBorder="1" applyAlignment="1">
      <alignment horizontal="center" vertical="center" shrinkToFit="1"/>
    </xf>
    <xf numFmtId="0" fontId="7" fillId="10" borderId="24" xfId="0" applyFont="1" applyFill="1" applyBorder="1" applyAlignment="1">
      <alignment horizontal="center" vertical="center" shrinkToFit="1"/>
    </xf>
    <xf numFmtId="0" fontId="7" fillId="11" borderId="3" xfId="0" applyFont="1" applyFill="1" applyBorder="1" applyAlignment="1">
      <alignment horizontal="center" vertical="center" shrinkToFit="1"/>
    </xf>
    <xf numFmtId="168" fontId="32" fillId="0" borderId="0" xfId="0" applyNumberFormat="1" applyFont="1" applyAlignment="1">
      <alignment horizontal="right"/>
    </xf>
    <xf numFmtId="0" fontId="7" fillId="0" borderId="15" xfId="0" applyFont="1" applyBorder="1" applyAlignment="1">
      <alignment horizontal="center" vertical="center" shrinkToFit="1"/>
    </xf>
    <xf numFmtId="0" fontId="7" fillId="16" borderId="5" xfId="0" applyFont="1" applyFill="1" applyBorder="1" applyAlignment="1">
      <alignment horizontal="center" vertical="center" shrinkToFit="1"/>
    </xf>
    <xf numFmtId="0" fontId="7" fillId="16" borderId="6"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7" fillId="10" borderId="16" xfId="0" applyFont="1" applyFill="1" applyBorder="1" applyAlignment="1">
      <alignment horizontal="center" vertical="center" shrinkToFit="1"/>
    </xf>
    <xf numFmtId="0" fontId="48" fillId="13" borderId="4" xfId="0" applyFont="1" applyFill="1" applyBorder="1" applyAlignment="1">
      <alignment horizontal="center" vertical="center" shrinkToFit="1"/>
    </xf>
    <xf numFmtId="0" fontId="44" fillId="3" borderId="3" xfId="0" applyFont="1" applyFill="1" applyBorder="1" applyAlignment="1">
      <alignment horizontal="center" vertical="center" shrinkToFit="1"/>
    </xf>
    <xf numFmtId="0" fontId="44" fillId="3" borderId="4" xfId="0" applyFont="1" applyFill="1" applyBorder="1" applyAlignment="1">
      <alignment horizontal="center" vertical="center" shrinkToFit="1"/>
    </xf>
    <xf numFmtId="0" fontId="53" fillId="0" borderId="21" xfId="0" applyFont="1" applyBorder="1" applyAlignment="1">
      <alignment horizontal="center" vertical="center" shrinkToFit="1"/>
    </xf>
    <xf numFmtId="0" fontId="53" fillId="0" borderId="22" xfId="0" applyFont="1" applyBorder="1" applyAlignment="1">
      <alignment horizontal="center" vertical="center" shrinkToFit="1"/>
    </xf>
    <xf numFmtId="0" fontId="53" fillId="2" borderId="3" xfId="0" applyFont="1" applyFill="1" applyBorder="1" applyAlignment="1">
      <alignment horizontal="center" vertical="center" shrinkToFit="1"/>
    </xf>
    <xf numFmtId="0" fontId="53" fillId="19" borderId="3" xfId="0" applyFont="1" applyFill="1" applyBorder="1" applyAlignment="1">
      <alignment horizontal="center" vertical="center" shrinkToFit="1"/>
    </xf>
    <xf numFmtId="0" fontId="53" fillId="19" borderId="4" xfId="0" applyFont="1" applyFill="1" applyBorder="1" applyAlignment="1">
      <alignment horizontal="center" vertical="center" shrinkToFit="1"/>
    </xf>
    <xf numFmtId="0" fontId="7" fillId="17" borderId="3" xfId="0" applyFont="1" applyFill="1" applyBorder="1" applyAlignment="1">
      <alignment horizontal="center" vertical="center" shrinkToFit="1"/>
    </xf>
    <xf numFmtId="0" fontId="7" fillId="17" borderId="4" xfId="0" applyFont="1" applyFill="1" applyBorder="1" applyAlignment="1">
      <alignment horizontal="center" vertical="center" shrinkToFit="1"/>
    </xf>
    <xf numFmtId="0" fontId="7" fillId="17" borderId="5" xfId="0" applyFont="1" applyFill="1" applyBorder="1" applyAlignment="1">
      <alignment horizontal="center" vertical="center" shrinkToFit="1"/>
    </xf>
    <xf numFmtId="0" fontId="7" fillId="17" borderId="6" xfId="0" applyFont="1" applyFill="1" applyBorder="1" applyAlignment="1">
      <alignment horizontal="center" vertical="center" shrinkToFit="1"/>
    </xf>
    <xf numFmtId="0" fontId="55" fillId="20" borderId="3" xfId="0" applyFont="1" applyFill="1" applyBorder="1" applyAlignment="1">
      <alignment horizontal="center" vertical="center" shrinkToFit="1"/>
    </xf>
    <xf numFmtId="0" fontId="55" fillId="20" borderId="4" xfId="0" applyFont="1" applyFill="1" applyBorder="1" applyAlignment="1">
      <alignment horizontal="center" vertical="center" shrinkToFit="1"/>
    </xf>
    <xf numFmtId="0" fontId="47" fillId="0" borderId="0" xfId="0" applyFont="1" applyAlignment="1">
      <alignment horizontal="left" vertical="center" wrapText="1"/>
    </xf>
    <xf numFmtId="0" fontId="47" fillId="0" borderId="0" xfId="0" applyFont="1" applyAlignment="1">
      <alignment horizontal="left" vertical="center"/>
    </xf>
    <xf numFmtId="0" fontId="48" fillId="0" borderId="3" xfId="0" applyFont="1" applyBorder="1" applyAlignment="1">
      <alignment horizontal="center" vertical="center" shrinkToFit="1"/>
    </xf>
    <xf numFmtId="0" fontId="48" fillId="0" borderId="4" xfId="0" applyFont="1" applyBorder="1" applyAlignment="1">
      <alignment horizontal="center" vertical="center" shrinkToFit="1"/>
    </xf>
    <xf numFmtId="0" fontId="47" fillId="0" borderId="17" xfId="0" applyFont="1" applyBorder="1" applyAlignment="1">
      <alignment horizontal="left" vertical="center" wrapText="1"/>
    </xf>
    <xf numFmtId="0" fontId="55" fillId="3" borderId="3" xfId="0" applyFont="1" applyFill="1" applyBorder="1" applyAlignment="1">
      <alignment horizontal="center" vertical="center" shrinkToFit="1"/>
    </xf>
    <xf numFmtId="0" fontId="55" fillId="3" borderId="4" xfId="0" applyFont="1" applyFill="1" applyBorder="1" applyAlignment="1">
      <alignment horizontal="center" vertical="center" shrinkToFit="1"/>
    </xf>
    <xf numFmtId="0" fontId="7" fillId="21" borderId="3" xfId="0" applyFont="1" applyFill="1" applyBorder="1" applyAlignment="1">
      <alignment horizontal="center" vertical="center" shrinkToFit="1"/>
    </xf>
    <xf numFmtId="0" fontId="7" fillId="21" borderId="4"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16" xfId="0" applyFont="1" applyFill="1" applyBorder="1" applyAlignment="1">
      <alignment horizontal="center" vertical="center" shrinkToFit="1"/>
    </xf>
    <xf numFmtId="0" fontId="7" fillId="2" borderId="15" xfId="0" applyFont="1" applyFill="1" applyBorder="1" applyAlignment="1">
      <alignment horizontal="center" vertical="center" shrinkToFit="1"/>
    </xf>
    <xf numFmtId="0" fontId="7" fillId="2" borderId="16" xfId="0" applyFont="1" applyFill="1" applyBorder="1" applyAlignment="1">
      <alignment horizontal="center" vertical="center" shrinkToFit="1"/>
    </xf>
    <xf numFmtId="0" fontId="7" fillId="2" borderId="3" xfId="0" applyFont="1" applyFill="1" applyBorder="1" applyAlignment="1">
      <alignment horizontal="center" vertical="center" shrinkToFit="1"/>
    </xf>
    <xf numFmtId="0" fontId="7" fillId="2" borderId="4" xfId="0" applyFont="1" applyFill="1" applyBorder="1" applyAlignment="1">
      <alignment horizontal="center" vertical="center" shrinkToFit="1"/>
    </xf>
  </cellXfs>
  <cellStyles count="3">
    <cellStyle name="Day" xfId="2" xr:uid="{E3811A22-62A9-41BA-BE7D-F2123D038A9A}"/>
    <cellStyle name="Hyperlink" xfId="1" builtinId="8" customBuiltin="1"/>
    <cellStyle name="Normal" xfId="0" builtinId="0"/>
  </cellStyles>
  <dxfs count="470">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EAEAEA"/>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B2B2B2"/>
      <rgbColor rgb="00003366"/>
      <rgbColor rgb="00109618"/>
      <rgbColor rgb="00085108"/>
      <rgbColor rgb="00635100"/>
      <rgbColor rgb="00273359"/>
      <rgbColor rgb="00E1D8BC"/>
      <rgbColor rgb="00594C27"/>
      <rgbColor rgb="00333333"/>
    </indexedColors>
    <mruColors>
      <color rgb="FF33CCFF"/>
      <color rgb="FFFFFFCC"/>
      <color rgb="FFC8F0FF"/>
      <color rgb="FFF3D9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vertex42.com/"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vertex42.co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0</xdr:row>
      <xdr:rowOff>15240</xdr:rowOff>
    </xdr:from>
    <xdr:to>
      <xdr:col>0</xdr:col>
      <xdr:colOff>1325880</xdr:colOff>
      <xdr:row>0</xdr:row>
      <xdr:rowOff>342900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 y="15240"/>
          <a:ext cx="1310640" cy="327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4694295</xdr:colOff>
      <xdr:row>0</xdr:row>
      <xdr:rowOff>0</xdr:rowOff>
    </xdr:from>
    <xdr:ext cx="1430280" cy="400106"/>
    <xdr:pic>
      <xdr:nvPicPr>
        <xdr:cNvPr id="3" name="Picture 2">
          <a:hlinkClick xmlns:r="http://schemas.openxmlformats.org/officeDocument/2006/relationships" r:id="rId1"/>
          <a:extLst>
            <a:ext uri="{FF2B5EF4-FFF2-40B4-BE49-F238E27FC236}">
              <a16:creationId xmlns:a16="http://schemas.microsoft.com/office/drawing/2014/main" id="{44AA8CCF-F4F6-422F-91F3-7F0B9DE54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89620" y="0"/>
          <a:ext cx="1430280" cy="40010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55620</xdr:colOff>
      <xdr:row>0</xdr:row>
      <xdr:rowOff>0</xdr:rowOff>
    </xdr:from>
    <xdr:ext cx="1430280" cy="400106"/>
    <xdr:pic>
      <xdr:nvPicPr>
        <xdr:cNvPr id="2" name="Picture 1">
          <a:hlinkClick xmlns:r="http://schemas.openxmlformats.org/officeDocument/2006/relationships" r:id="rId1"/>
          <a:extLst>
            <a:ext uri="{FF2B5EF4-FFF2-40B4-BE49-F238E27FC236}">
              <a16:creationId xmlns:a16="http://schemas.microsoft.com/office/drawing/2014/main" id="{CD5AB318-3874-4ADB-AC02-BD9F5B7B27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18145" y="0"/>
          <a:ext cx="1430280" cy="40010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50774693\Box\Backup\WW%20Load\2025\Load%20Calendar%202025.xlsx" TargetMode="External"/><Relationship Id="rId1" Type="http://schemas.openxmlformats.org/officeDocument/2006/relationships/externalLinkPath" Target="2025/Load%20Calendar%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1"/>
      <sheetName val="Q2"/>
      <sheetName val="Q3"/>
      <sheetName val="Q4"/>
      <sheetName val="Events"/>
      <sheetName val="Help"/>
      <sheetName val="©"/>
    </sheetNames>
    <sheetDataSet>
      <sheetData sheetId="0"/>
      <sheetData sheetId="1"/>
      <sheetData sheetId="2"/>
      <sheetData sheetId="3"/>
      <sheetData sheetId="4">
        <row r="1">
          <cell r="C1"/>
          <cell r="E1"/>
          <cell r="G1"/>
          <cell r="I1"/>
        </row>
        <row r="2">
          <cell r="C2"/>
          <cell r="E2"/>
          <cell r="G2"/>
          <cell r="I2"/>
        </row>
        <row r="3">
          <cell r="C3"/>
          <cell r="E3"/>
          <cell r="G3"/>
          <cell r="I3"/>
        </row>
        <row r="4">
          <cell r="C4"/>
          <cell r="E4"/>
          <cell r="G4"/>
          <cell r="I4"/>
        </row>
        <row r="5">
          <cell r="C5"/>
          <cell r="E5"/>
          <cell r="G5"/>
          <cell r="I5"/>
        </row>
        <row r="6">
          <cell r="C6"/>
          <cell r="E6"/>
          <cell r="G6"/>
          <cell r="I6"/>
        </row>
        <row r="7">
          <cell r="C7"/>
          <cell r="E7"/>
          <cell r="G7"/>
          <cell r="I7"/>
        </row>
        <row r="8">
          <cell r="C8"/>
          <cell r="E8"/>
          <cell r="G8"/>
          <cell r="I8"/>
        </row>
        <row r="9">
          <cell r="C9"/>
          <cell r="E9"/>
          <cell r="G9"/>
          <cell r="I9"/>
        </row>
        <row r="10">
          <cell r="C10"/>
          <cell r="E10"/>
          <cell r="G10"/>
          <cell r="I10"/>
        </row>
        <row r="11">
          <cell r="C11"/>
          <cell r="E11"/>
          <cell r="G11"/>
          <cell r="I11"/>
        </row>
        <row r="12">
          <cell r="C12"/>
          <cell r="E12"/>
          <cell r="G12"/>
          <cell r="I12"/>
        </row>
        <row r="13">
          <cell r="C13" t="str">
            <v>Month</v>
          </cell>
          <cell r="E13" t="str">
            <v>Week</v>
          </cell>
          <cell r="G13" t="str">
            <v>Date</v>
          </cell>
          <cell r="I13" t="str">
            <v>3rd Event</v>
          </cell>
        </row>
        <row r="14">
          <cell r="C14">
            <v>1</v>
          </cell>
          <cell r="E14">
            <v>3</v>
          </cell>
          <cell r="G14">
            <v>45677</v>
          </cell>
          <cell r="I14" t="str">
            <v xml:space="preserve"> - </v>
          </cell>
        </row>
        <row r="15">
          <cell r="C15">
            <v>1</v>
          </cell>
          <cell r="E15">
            <v>3</v>
          </cell>
          <cell r="G15">
            <v>46041</v>
          </cell>
          <cell r="I15" t="str">
            <v xml:space="preserve"> - </v>
          </cell>
        </row>
        <row r="16">
          <cell r="C16">
            <v>2</v>
          </cell>
          <cell r="E16">
            <v>3</v>
          </cell>
          <cell r="G16">
            <v>45705</v>
          </cell>
          <cell r="I16" t="str">
            <v xml:space="preserve"> - </v>
          </cell>
        </row>
        <row r="17">
          <cell r="C17">
            <v>2</v>
          </cell>
          <cell r="E17">
            <v>3</v>
          </cell>
          <cell r="G17">
            <v>46069</v>
          </cell>
          <cell r="I17" t="str">
            <v xml:space="preserve"> - </v>
          </cell>
        </row>
        <row r="18">
          <cell r="C18">
            <v>5</v>
          </cell>
          <cell r="E18">
            <v>2</v>
          </cell>
          <cell r="G18">
            <v>45788</v>
          </cell>
          <cell r="I18" t="str">
            <v xml:space="preserve"> - </v>
          </cell>
        </row>
        <row r="19">
          <cell r="C19">
            <v>5</v>
          </cell>
          <cell r="E19">
            <v>2</v>
          </cell>
          <cell r="G19">
            <v>46152</v>
          </cell>
          <cell r="I19" t="str">
            <v xml:space="preserve"> - </v>
          </cell>
        </row>
        <row r="20">
          <cell r="C20">
            <v>5</v>
          </cell>
          <cell r="E20">
            <v>3</v>
          </cell>
          <cell r="G20">
            <v>45794</v>
          </cell>
          <cell r="I20" t="str">
            <v xml:space="preserve"> - </v>
          </cell>
        </row>
        <row r="21">
          <cell r="C21">
            <v>5</v>
          </cell>
          <cell r="E21">
            <v>3</v>
          </cell>
          <cell r="G21">
            <v>46158</v>
          </cell>
          <cell r="I21" t="str">
            <v xml:space="preserve"> - </v>
          </cell>
        </row>
        <row r="22">
          <cell r="C22">
            <v>6</v>
          </cell>
          <cell r="E22">
            <v>3</v>
          </cell>
          <cell r="G22">
            <v>45823</v>
          </cell>
          <cell r="I22" t="str">
            <v xml:space="preserve"> - </v>
          </cell>
        </row>
        <row r="23">
          <cell r="C23">
            <v>6</v>
          </cell>
          <cell r="E23">
            <v>3</v>
          </cell>
          <cell r="G23">
            <v>46194</v>
          </cell>
          <cell r="I23" t="str">
            <v xml:space="preserve"> - </v>
          </cell>
        </row>
        <row r="24">
          <cell r="C24">
            <v>6</v>
          </cell>
          <cell r="E24">
            <v>0</v>
          </cell>
          <cell r="G24">
            <v>45803</v>
          </cell>
          <cell r="I24" t="str">
            <v xml:space="preserve"> - </v>
          </cell>
        </row>
        <row r="25">
          <cell r="C25">
            <v>6</v>
          </cell>
          <cell r="E25">
            <v>0</v>
          </cell>
          <cell r="G25">
            <v>46167</v>
          </cell>
          <cell r="I25" t="str">
            <v xml:space="preserve"> - </v>
          </cell>
        </row>
        <row r="26">
          <cell r="C26">
            <v>7</v>
          </cell>
          <cell r="E26">
            <v>4</v>
          </cell>
          <cell r="G26">
            <v>45865</v>
          </cell>
          <cell r="I26" t="str">
            <v xml:space="preserve"> - </v>
          </cell>
        </row>
        <row r="27">
          <cell r="C27">
            <v>7</v>
          </cell>
          <cell r="E27">
            <v>4</v>
          </cell>
          <cell r="G27">
            <v>46229</v>
          </cell>
          <cell r="I27" t="str">
            <v xml:space="preserve"> - </v>
          </cell>
        </row>
        <row r="28">
          <cell r="C28">
            <v>9</v>
          </cell>
          <cell r="E28">
            <v>1</v>
          </cell>
          <cell r="G28">
            <v>45901</v>
          </cell>
          <cell r="I28" t="str">
            <v xml:space="preserve"> - </v>
          </cell>
        </row>
        <row r="29">
          <cell r="C29">
            <v>9</v>
          </cell>
          <cell r="E29">
            <v>1</v>
          </cell>
          <cell r="G29">
            <v>46272</v>
          </cell>
          <cell r="I29" t="str">
            <v xml:space="preserve"> - </v>
          </cell>
        </row>
        <row r="30">
          <cell r="C30">
            <v>10</v>
          </cell>
          <cell r="E30">
            <v>2</v>
          </cell>
          <cell r="G30">
            <v>45943</v>
          </cell>
          <cell r="I30" t="str">
            <v xml:space="preserve"> - </v>
          </cell>
        </row>
        <row r="31">
          <cell r="C31">
            <v>10</v>
          </cell>
          <cell r="E31">
            <v>2</v>
          </cell>
          <cell r="G31">
            <v>46307</v>
          </cell>
          <cell r="I31" t="str">
            <v xml:space="preserve"> - </v>
          </cell>
        </row>
        <row r="32">
          <cell r="C32">
            <v>11</v>
          </cell>
          <cell r="E32">
            <v>4</v>
          </cell>
          <cell r="G32">
            <v>45988</v>
          </cell>
          <cell r="I32" t="str">
            <v xml:space="preserve"> - </v>
          </cell>
        </row>
        <row r="33">
          <cell r="C33">
            <v>11</v>
          </cell>
          <cell r="E33">
            <v>4</v>
          </cell>
          <cell r="G33">
            <v>46352</v>
          </cell>
          <cell r="I33" t="str">
            <v xml:space="preserve"> - </v>
          </cell>
        </row>
        <row r="34">
          <cell r="C34"/>
          <cell r="E34"/>
          <cell r="G34">
            <v>45762</v>
          </cell>
          <cell r="I34" t="str">
            <v xml:space="preserve"> - </v>
          </cell>
        </row>
        <row r="35">
          <cell r="C35"/>
          <cell r="E35"/>
          <cell r="G35">
            <v>46127</v>
          </cell>
          <cell r="I35" t="str">
            <v xml:space="preserve"> - </v>
          </cell>
        </row>
        <row r="36">
          <cell r="C36">
            <v>4</v>
          </cell>
          <cell r="E36"/>
          <cell r="G36">
            <v>45725</v>
          </cell>
          <cell r="I36" t="str">
            <v xml:space="preserve"> - </v>
          </cell>
        </row>
        <row r="37">
          <cell r="C37">
            <v>4</v>
          </cell>
          <cell r="E37"/>
          <cell r="G37">
            <v>46089</v>
          </cell>
          <cell r="I37" t="str">
            <v xml:space="preserve"> - </v>
          </cell>
        </row>
        <row r="38">
          <cell r="C38">
            <v>11</v>
          </cell>
          <cell r="E38"/>
          <cell r="G38">
            <v>45963</v>
          </cell>
          <cell r="I38" t="str">
            <v xml:space="preserve"> - </v>
          </cell>
        </row>
        <row r="39">
          <cell r="C39">
            <v>11</v>
          </cell>
          <cell r="E39"/>
          <cell r="G39">
            <v>46327</v>
          </cell>
          <cell r="I39" t="str">
            <v xml:space="preserve"> - </v>
          </cell>
        </row>
        <row r="40">
          <cell r="C40"/>
          <cell r="E40"/>
          <cell r="G40">
            <v>45907</v>
          </cell>
          <cell r="I40" t="str">
            <v xml:space="preserve"> - </v>
          </cell>
        </row>
        <row r="41">
          <cell r="C41"/>
          <cell r="E41"/>
          <cell r="G41">
            <v>46278</v>
          </cell>
          <cell r="I41" t="str">
            <v xml:space="preserve"> - </v>
          </cell>
        </row>
        <row r="42">
          <cell r="C42">
            <v>4</v>
          </cell>
          <cell r="E42"/>
          <cell r="G42">
            <v>45770</v>
          </cell>
          <cell r="I42" t="str">
            <v xml:space="preserve"> - </v>
          </cell>
        </row>
        <row r="43">
          <cell r="C43">
            <v>4</v>
          </cell>
          <cell r="E43"/>
          <cell r="G43">
            <v>46134</v>
          </cell>
          <cell r="I43" t="str">
            <v xml:space="preserve"> - </v>
          </cell>
        </row>
        <row r="44">
          <cell r="C44"/>
          <cell r="E44"/>
          <cell r="G44">
            <v>45686</v>
          </cell>
          <cell r="I44" t="str">
            <v xml:space="preserve"> - </v>
          </cell>
        </row>
        <row r="45">
          <cell r="C45"/>
          <cell r="E45"/>
          <cell r="G45">
            <v>46070</v>
          </cell>
          <cell r="I45" t="str">
            <v xml:space="preserve"> - </v>
          </cell>
        </row>
        <row r="46">
          <cell r="C46"/>
          <cell r="E46"/>
          <cell r="G46">
            <v>45767</v>
          </cell>
          <cell r="I46" t="str">
            <v xml:space="preserve"> - </v>
          </cell>
        </row>
        <row r="47">
          <cell r="C47"/>
          <cell r="E47"/>
          <cell r="G47">
            <v>46117</v>
          </cell>
          <cell r="I47" t="str">
            <v xml:space="preserve"> - </v>
          </cell>
        </row>
        <row r="48">
          <cell r="C48"/>
          <cell r="E48"/>
          <cell r="G48">
            <v>45765</v>
          </cell>
          <cell r="I48" t="str">
            <v xml:space="preserve"> - </v>
          </cell>
        </row>
        <row r="49">
          <cell r="C49"/>
          <cell r="E49"/>
          <cell r="G49">
            <v>46115</v>
          </cell>
          <cell r="I49" t="str">
            <v xml:space="preserve"> - </v>
          </cell>
        </row>
        <row r="50">
          <cell r="C50"/>
          <cell r="E50"/>
          <cell r="G50">
            <v>45816</v>
          </cell>
          <cell r="I50" t="str">
            <v xml:space="preserve"> - </v>
          </cell>
        </row>
        <row r="51">
          <cell r="C51"/>
          <cell r="E51"/>
          <cell r="G51">
            <v>46166</v>
          </cell>
          <cell r="I51" t="str">
            <v xml:space="preserve"> - </v>
          </cell>
        </row>
        <row r="52">
          <cell r="C52"/>
          <cell r="E52"/>
          <cell r="G52">
            <v>45721</v>
          </cell>
          <cell r="I52" t="str">
            <v xml:space="preserve"> - </v>
          </cell>
        </row>
        <row r="53">
          <cell r="C53"/>
          <cell r="E53"/>
          <cell r="G53">
            <v>46071</v>
          </cell>
          <cell r="I53" t="str">
            <v xml:space="preserve"> - </v>
          </cell>
        </row>
        <row r="54">
          <cell r="C54"/>
          <cell r="E54"/>
          <cell r="G54">
            <v>45720</v>
          </cell>
          <cell r="I54" t="str">
            <v xml:space="preserve"> - </v>
          </cell>
        </row>
        <row r="55">
          <cell r="C55"/>
          <cell r="E55"/>
          <cell r="G55">
            <v>46070</v>
          </cell>
          <cell r="I55" t="str">
            <v xml:space="preserve"> - </v>
          </cell>
        </row>
        <row r="56">
          <cell r="C56"/>
          <cell r="E56"/>
          <cell r="G56">
            <v>45717</v>
          </cell>
          <cell r="I56" t="str">
            <v xml:space="preserve"> - </v>
          </cell>
        </row>
        <row r="57">
          <cell r="C57"/>
          <cell r="E57"/>
          <cell r="G57">
            <v>46071</v>
          </cell>
          <cell r="I57" t="str">
            <v xml:space="preserve"> - </v>
          </cell>
        </row>
        <row r="58">
          <cell r="C58"/>
          <cell r="E58"/>
          <cell r="G58">
            <v>45747</v>
          </cell>
          <cell r="I58" t="str">
            <v xml:space="preserve"> - </v>
          </cell>
        </row>
        <row r="59">
          <cell r="C59"/>
          <cell r="E59"/>
          <cell r="G59">
            <v>46101</v>
          </cell>
          <cell r="I59" t="str">
            <v xml:space="preserve"> - </v>
          </cell>
        </row>
        <row r="60">
          <cell r="C60"/>
          <cell r="E60"/>
          <cell r="G60">
            <v>45923</v>
          </cell>
          <cell r="I60" t="str">
            <v xml:space="preserve"> - </v>
          </cell>
        </row>
        <row r="61">
          <cell r="C61"/>
          <cell r="E61"/>
          <cell r="G61">
            <v>46277</v>
          </cell>
          <cell r="I61" t="str">
            <v xml:space="preserve"> - </v>
          </cell>
        </row>
        <row r="62">
          <cell r="C62"/>
          <cell r="E62"/>
          <cell r="G62">
            <v>45932</v>
          </cell>
          <cell r="I62" t="str">
            <v xml:space="preserve"> - </v>
          </cell>
        </row>
        <row r="63">
          <cell r="C63"/>
          <cell r="E63"/>
          <cell r="G63">
            <v>46286</v>
          </cell>
          <cell r="I63" t="str">
            <v xml:space="preserve"> - </v>
          </cell>
        </row>
        <row r="64">
          <cell r="C64"/>
          <cell r="E64"/>
          <cell r="G64">
            <v>45760</v>
          </cell>
          <cell r="I64" t="str">
            <v xml:space="preserve"> - </v>
          </cell>
        </row>
        <row r="65">
          <cell r="C65"/>
          <cell r="E65"/>
          <cell r="G65">
            <v>46114</v>
          </cell>
          <cell r="I65" t="str">
            <v xml:space="preserve"> - </v>
          </cell>
        </row>
        <row r="66">
          <cell r="C66"/>
          <cell r="E66"/>
          <cell r="G66">
            <v>46005</v>
          </cell>
          <cell r="I66" t="str">
            <v xml:space="preserve"> - </v>
          </cell>
        </row>
        <row r="67">
          <cell r="C67"/>
          <cell r="E67"/>
          <cell r="G67">
            <v>46360</v>
          </cell>
          <cell r="I67" t="str">
            <v xml:space="preserve"> - </v>
          </cell>
        </row>
        <row r="68">
          <cell r="C68"/>
          <cell r="E68"/>
          <cell r="G68">
            <v>45796</v>
          </cell>
          <cell r="I68" t="str">
            <v xml:space="preserve"> - </v>
          </cell>
        </row>
        <row r="69">
          <cell r="C69"/>
          <cell r="E69"/>
          <cell r="G69">
            <v>46160</v>
          </cell>
          <cell r="I69" t="str">
            <v xml:space="preserve"> - </v>
          </cell>
        </row>
        <row r="70">
          <cell r="C70"/>
          <cell r="E70"/>
          <cell r="G70">
            <v>45736</v>
          </cell>
          <cell r="I70" t="str">
            <v xml:space="preserve"> - </v>
          </cell>
        </row>
        <row r="71">
          <cell r="C71"/>
          <cell r="E71"/>
          <cell r="G71">
            <v>46101</v>
          </cell>
          <cell r="I71" t="str">
            <v xml:space="preserve"> - </v>
          </cell>
        </row>
        <row r="72">
          <cell r="C72"/>
          <cell r="E72"/>
          <cell r="G72">
            <v>45829</v>
          </cell>
          <cell r="I72" t="str">
            <v xml:space="preserve"> - </v>
          </cell>
        </row>
        <row r="73">
          <cell r="C73"/>
          <cell r="E73"/>
          <cell r="G73">
            <v>46194</v>
          </cell>
          <cell r="I73" t="str">
            <v xml:space="preserve"> - </v>
          </cell>
        </row>
        <row r="74">
          <cell r="C74"/>
          <cell r="E74"/>
          <cell r="G74">
            <v>45922</v>
          </cell>
          <cell r="I74" t="str">
            <v xml:space="preserve"> - </v>
          </cell>
        </row>
        <row r="75">
          <cell r="C75"/>
          <cell r="E75"/>
          <cell r="G75">
            <v>46288</v>
          </cell>
          <cell r="I75" t="str">
            <v xml:space="preserve"> - </v>
          </cell>
        </row>
        <row r="76">
          <cell r="C76"/>
          <cell r="E76"/>
          <cell r="G76">
            <v>46012</v>
          </cell>
          <cell r="I76" t="str">
            <v xml:space="preserve"> - </v>
          </cell>
        </row>
        <row r="77">
          <cell r="C77"/>
          <cell r="E77"/>
          <cell r="G77">
            <v>46377</v>
          </cell>
          <cell r="I77" t="str">
            <v xml:space="preserve"> - </v>
          </cell>
        </row>
        <row r="78">
          <cell r="C78"/>
          <cell r="E78"/>
          <cell r="G78"/>
          <cell r="I78"/>
        </row>
        <row r="79">
          <cell r="C79"/>
          <cell r="E79"/>
          <cell r="G79" t="str">
            <v>For Dates such as "First Monday in September"</v>
          </cell>
          <cell r="I79"/>
        </row>
        <row r="80">
          <cell r="C80" t="str">
            <v>Month</v>
          </cell>
          <cell r="E80" t="str">
            <v>Week</v>
          </cell>
          <cell r="G80" t="str">
            <v>Date</v>
          </cell>
          <cell r="I80" t="str">
            <v>3rd Event</v>
          </cell>
        </row>
        <row r="81">
          <cell r="C81"/>
          <cell r="E81"/>
          <cell r="G81" t="str">
            <v xml:space="preserve"> - </v>
          </cell>
          <cell r="I81" t="str">
            <v xml:space="preserve"> - </v>
          </cell>
        </row>
        <row r="82">
          <cell r="C82"/>
          <cell r="E82"/>
          <cell r="G82" t="str">
            <v xml:space="preserve"> - </v>
          </cell>
          <cell r="I82" t="str">
            <v xml:space="preserve"> - </v>
          </cell>
        </row>
        <row r="83">
          <cell r="C83"/>
          <cell r="E83"/>
          <cell r="G83" t="str">
            <v xml:space="preserve"> - </v>
          </cell>
          <cell r="I83" t="str">
            <v xml:space="preserve"> - </v>
          </cell>
        </row>
        <row r="84">
          <cell r="C84"/>
          <cell r="E84"/>
          <cell r="G84" t="str">
            <v xml:space="preserve"> - </v>
          </cell>
          <cell r="I84" t="str">
            <v xml:space="preserve"> - </v>
          </cell>
        </row>
        <row r="85">
          <cell r="C85"/>
          <cell r="E85"/>
          <cell r="G85" t="str">
            <v xml:space="preserve"> - </v>
          </cell>
          <cell r="I85" t="str">
            <v xml:space="preserve"> - </v>
          </cell>
        </row>
        <row r="86">
          <cell r="C86"/>
          <cell r="E86"/>
          <cell r="G86" t="str">
            <v xml:space="preserve"> - </v>
          </cell>
          <cell r="I86" t="str">
            <v xml:space="preserve"> - </v>
          </cell>
        </row>
        <row r="87">
          <cell r="C87"/>
          <cell r="E87"/>
          <cell r="G87" t="str">
            <v xml:space="preserve"> - </v>
          </cell>
          <cell r="I87" t="str">
            <v xml:space="preserve"> - </v>
          </cell>
        </row>
        <row r="88">
          <cell r="C88"/>
          <cell r="E88"/>
          <cell r="G88" t="str">
            <v xml:space="preserve"> - </v>
          </cell>
          <cell r="I88" t="str">
            <v xml:space="preserve"> - </v>
          </cell>
        </row>
        <row r="89">
          <cell r="C89"/>
          <cell r="E89"/>
          <cell r="G89" t="str">
            <v xml:space="preserve"> - </v>
          </cell>
          <cell r="I89" t="str">
            <v xml:space="preserve"> - </v>
          </cell>
        </row>
        <row r="90">
          <cell r="C90"/>
          <cell r="E90"/>
          <cell r="G90" t="str">
            <v xml:space="preserve"> - </v>
          </cell>
          <cell r="I90" t="str">
            <v xml:space="preserve"> - </v>
          </cell>
        </row>
        <row r="91">
          <cell r="C91"/>
          <cell r="E91"/>
          <cell r="G91" t="str">
            <v xml:space="preserve"> - </v>
          </cell>
          <cell r="I91" t="str">
            <v xml:space="preserve"> - </v>
          </cell>
        </row>
        <row r="92">
          <cell r="C92"/>
          <cell r="E92"/>
          <cell r="G92"/>
          <cell r="I92"/>
        </row>
        <row r="93">
          <cell r="C93"/>
          <cell r="E93"/>
          <cell r="G93"/>
          <cell r="I93"/>
        </row>
        <row r="94">
          <cell r="C94" t="str">
            <v>Month</v>
          </cell>
          <cell r="E94"/>
          <cell r="G94" t="str">
            <v>Date</v>
          </cell>
          <cell r="I94" t="str">
            <v>3rd Event</v>
          </cell>
        </row>
        <row r="95">
          <cell r="C95">
            <v>1</v>
          </cell>
          <cell r="E95"/>
          <cell r="G95">
            <v>45658</v>
          </cell>
          <cell r="I95" t="str">
            <v xml:space="preserve"> - </v>
          </cell>
        </row>
        <row r="96">
          <cell r="C96">
            <v>1</v>
          </cell>
          <cell r="E96"/>
          <cell r="G96">
            <v>46023</v>
          </cell>
          <cell r="I96" t="str">
            <v xml:space="preserve"> - </v>
          </cell>
        </row>
        <row r="97">
          <cell r="C97">
            <v>2</v>
          </cell>
          <cell r="E97"/>
          <cell r="G97">
            <v>45690</v>
          </cell>
          <cell r="I97" t="str">
            <v xml:space="preserve"> - </v>
          </cell>
        </row>
        <row r="98">
          <cell r="C98">
            <v>2</v>
          </cell>
          <cell r="E98"/>
          <cell r="G98">
            <v>46055</v>
          </cell>
          <cell r="I98" t="str">
            <v xml:space="preserve"> - </v>
          </cell>
        </row>
        <row r="99">
          <cell r="C99">
            <v>2</v>
          </cell>
          <cell r="E99"/>
          <cell r="G99">
            <v>45700</v>
          </cell>
          <cell r="I99" t="str">
            <v xml:space="preserve"> - </v>
          </cell>
        </row>
        <row r="100">
          <cell r="C100">
            <v>2</v>
          </cell>
          <cell r="E100"/>
          <cell r="G100">
            <v>46065</v>
          </cell>
          <cell r="I100" t="str">
            <v xml:space="preserve"> - </v>
          </cell>
        </row>
        <row r="101">
          <cell r="C101">
            <v>2</v>
          </cell>
          <cell r="E101"/>
          <cell r="G101">
            <v>45702</v>
          </cell>
          <cell r="I101" t="str">
            <v xml:space="preserve"> - </v>
          </cell>
        </row>
        <row r="102">
          <cell r="C102">
            <v>2</v>
          </cell>
          <cell r="E102"/>
          <cell r="G102">
            <v>46067</v>
          </cell>
          <cell r="I102" t="str">
            <v xml:space="preserve"> - </v>
          </cell>
        </row>
        <row r="103">
          <cell r="C103">
            <v>3</v>
          </cell>
          <cell r="E103"/>
          <cell r="G103">
            <v>45733</v>
          </cell>
          <cell r="I103" t="str">
            <v xml:space="preserve"> - </v>
          </cell>
        </row>
        <row r="104">
          <cell r="C104">
            <v>3</v>
          </cell>
          <cell r="E104"/>
          <cell r="G104">
            <v>46098</v>
          </cell>
          <cell r="I104" t="str">
            <v xml:space="preserve"> - </v>
          </cell>
        </row>
        <row r="105">
          <cell r="C105">
            <v>4</v>
          </cell>
          <cell r="E105"/>
          <cell r="G105">
            <v>45748</v>
          </cell>
          <cell r="I105" t="str">
            <v xml:space="preserve"> - </v>
          </cell>
        </row>
        <row r="106">
          <cell r="C106">
            <v>4</v>
          </cell>
          <cell r="E106"/>
          <cell r="G106">
            <v>46113</v>
          </cell>
          <cell r="I106" t="str">
            <v xml:space="preserve"> - </v>
          </cell>
        </row>
        <row r="107">
          <cell r="C107">
            <v>4</v>
          </cell>
          <cell r="E107"/>
          <cell r="G107">
            <v>45769</v>
          </cell>
          <cell r="I107" t="str">
            <v xml:space="preserve"> - </v>
          </cell>
        </row>
        <row r="108">
          <cell r="C108">
            <v>4</v>
          </cell>
          <cell r="E108"/>
          <cell r="G108">
            <v>46134</v>
          </cell>
          <cell r="I108" t="str">
            <v xml:space="preserve"> - </v>
          </cell>
        </row>
        <row r="109">
          <cell r="C109">
            <v>5</v>
          </cell>
          <cell r="E109"/>
          <cell r="G109">
            <v>45782</v>
          </cell>
          <cell r="I109" t="str">
            <v xml:space="preserve"> - </v>
          </cell>
        </row>
        <row r="110">
          <cell r="C110">
            <v>5</v>
          </cell>
          <cell r="E110"/>
          <cell r="G110">
            <v>46147</v>
          </cell>
          <cell r="I110" t="str">
            <v xml:space="preserve"> - </v>
          </cell>
        </row>
        <row r="111">
          <cell r="C111">
            <v>6</v>
          </cell>
          <cell r="E111"/>
          <cell r="G111">
            <v>45822</v>
          </cell>
          <cell r="I111" t="str">
            <v xml:space="preserve"> - </v>
          </cell>
        </row>
        <row r="112">
          <cell r="C112">
            <v>6</v>
          </cell>
          <cell r="E112"/>
          <cell r="G112">
            <v>46187</v>
          </cell>
          <cell r="I112" t="str">
            <v xml:space="preserve"> - </v>
          </cell>
        </row>
        <row r="113">
          <cell r="C113">
            <v>6</v>
          </cell>
          <cell r="E113"/>
          <cell r="G113">
            <v>45827</v>
          </cell>
          <cell r="I113" t="str">
            <v xml:space="preserve"> - </v>
          </cell>
        </row>
        <row r="114">
          <cell r="C114">
            <v>6</v>
          </cell>
          <cell r="E114"/>
          <cell r="G114">
            <v>46192</v>
          </cell>
          <cell r="I114" t="str">
            <v xml:space="preserve"> - </v>
          </cell>
        </row>
        <row r="115">
          <cell r="C115">
            <v>7</v>
          </cell>
          <cell r="E115"/>
          <cell r="G115">
            <v>45842</v>
          </cell>
          <cell r="I115" t="str">
            <v xml:space="preserve"> - </v>
          </cell>
        </row>
        <row r="116">
          <cell r="C116">
            <v>7</v>
          </cell>
          <cell r="E116"/>
          <cell r="G116">
            <v>46207</v>
          </cell>
          <cell r="I116" t="str">
            <v xml:space="preserve"> - </v>
          </cell>
        </row>
        <row r="117">
          <cell r="C117">
            <v>8</v>
          </cell>
          <cell r="E117"/>
          <cell r="G117">
            <v>45888</v>
          </cell>
          <cell r="I117" t="str">
            <v xml:space="preserve"> - </v>
          </cell>
        </row>
        <row r="118">
          <cell r="C118">
            <v>8</v>
          </cell>
          <cell r="E118"/>
          <cell r="G118">
            <v>46253</v>
          </cell>
          <cell r="I118" t="str">
            <v xml:space="preserve"> - </v>
          </cell>
        </row>
        <row r="119">
          <cell r="C119">
            <v>9</v>
          </cell>
          <cell r="E119"/>
          <cell r="G119">
            <v>45911</v>
          </cell>
          <cell r="I119" t="str">
            <v xml:space="preserve"> - </v>
          </cell>
        </row>
        <row r="120">
          <cell r="C120">
            <v>9</v>
          </cell>
          <cell r="E120"/>
          <cell r="G120">
            <v>46276</v>
          </cell>
          <cell r="I120" t="str">
            <v xml:space="preserve"> - </v>
          </cell>
        </row>
        <row r="121">
          <cell r="C121">
            <v>9</v>
          </cell>
          <cell r="E121"/>
          <cell r="G121">
            <v>45917</v>
          </cell>
          <cell r="I121" t="str">
            <v xml:space="preserve"> - </v>
          </cell>
        </row>
        <row r="122">
          <cell r="C122">
            <v>9</v>
          </cell>
          <cell r="E122"/>
          <cell r="G122">
            <v>46282</v>
          </cell>
          <cell r="I122" t="str">
            <v xml:space="preserve"> - </v>
          </cell>
        </row>
        <row r="123">
          <cell r="C123">
            <v>10</v>
          </cell>
          <cell r="E123"/>
          <cell r="G123">
            <v>45946</v>
          </cell>
          <cell r="I123" t="str">
            <v xml:space="preserve"> - </v>
          </cell>
        </row>
        <row r="124">
          <cell r="C124">
            <v>10</v>
          </cell>
          <cell r="E124"/>
          <cell r="G124">
            <v>46311</v>
          </cell>
          <cell r="I124" t="str">
            <v xml:space="preserve"> - </v>
          </cell>
        </row>
        <row r="125">
          <cell r="C125">
            <v>10</v>
          </cell>
          <cell r="E125"/>
          <cell r="G125">
            <v>45954</v>
          </cell>
          <cell r="I125" t="str">
            <v xml:space="preserve"> - </v>
          </cell>
        </row>
        <row r="126">
          <cell r="C126">
            <v>10</v>
          </cell>
          <cell r="E126"/>
          <cell r="G126">
            <v>46319</v>
          </cell>
          <cell r="I126" t="str">
            <v xml:space="preserve"> - </v>
          </cell>
        </row>
        <row r="127">
          <cell r="C127">
            <v>10</v>
          </cell>
          <cell r="E127"/>
          <cell r="G127">
            <v>45961</v>
          </cell>
          <cell r="I127" t="str">
            <v xml:space="preserve"> - </v>
          </cell>
        </row>
        <row r="128">
          <cell r="C128">
            <v>10</v>
          </cell>
          <cell r="E128"/>
          <cell r="G128">
            <v>46326</v>
          </cell>
          <cell r="I128" t="str">
            <v xml:space="preserve"> - </v>
          </cell>
        </row>
        <row r="129">
          <cell r="C129">
            <v>11</v>
          </cell>
          <cell r="E129"/>
          <cell r="G129">
            <v>45972</v>
          </cell>
          <cell r="I129" t="str">
            <v xml:space="preserve"> - </v>
          </cell>
        </row>
        <row r="130">
          <cell r="C130">
            <v>11</v>
          </cell>
          <cell r="E130"/>
          <cell r="G130">
            <v>46337</v>
          </cell>
          <cell r="I130" t="str">
            <v xml:space="preserve"> - </v>
          </cell>
        </row>
        <row r="131">
          <cell r="C131">
            <v>12</v>
          </cell>
          <cell r="E131"/>
          <cell r="G131">
            <v>45998</v>
          </cell>
          <cell r="I131" t="str">
            <v xml:space="preserve"> - </v>
          </cell>
        </row>
        <row r="132">
          <cell r="C132">
            <v>12</v>
          </cell>
          <cell r="E132"/>
          <cell r="G132">
            <v>46363</v>
          </cell>
          <cell r="I132" t="str">
            <v xml:space="preserve"> - </v>
          </cell>
        </row>
        <row r="133">
          <cell r="C133">
            <v>12</v>
          </cell>
          <cell r="E133"/>
          <cell r="G133">
            <v>46015</v>
          </cell>
          <cell r="I133" t="str">
            <v xml:space="preserve"> - </v>
          </cell>
        </row>
        <row r="134">
          <cell r="C134">
            <v>12</v>
          </cell>
          <cell r="E134"/>
          <cell r="G134">
            <v>46380</v>
          </cell>
          <cell r="I134" t="str">
            <v xml:space="preserve"> - </v>
          </cell>
        </row>
        <row r="135">
          <cell r="C135">
            <v>12</v>
          </cell>
          <cell r="E135"/>
          <cell r="G135">
            <v>46016</v>
          </cell>
          <cell r="I135" t="str">
            <v xml:space="preserve"> - </v>
          </cell>
        </row>
        <row r="136">
          <cell r="C136">
            <v>12</v>
          </cell>
          <cell r="E136"/>
          <cell r="G136">
            <v>46381</v>
          </cell>
          <cell r="I136" t="str">
            <v xml:space="preserve"> - </v>
          </cell>
        </row>
        <row r="137">
          <cell r="C137">
            <v>12</v>
          </cell>
          <cell r="E137"/>
          <cell r="G137">
            <v>46017</v>
          </cell>
          <cell r="I137" t="str">
            <v xml:space="preserve"> - </v>
          </cell>
        </row>
        <row r="138">
          <cell r="C138">
            <v>12</v>
          </cell>
          <cell r="E138"/>
          <cell r="G138">
            <v>46382</v>
          </cell>
          <cell r="I138" t="str">
            <v xml:space="preserve"> - </v>
          </cell>
        </row>
        <row r="139">
          <cell r="C139">
            <v>12</v>
          </cell>
          <cell r="E139"/>
          <cell r="G139">
            <v>46017</v>
          </cell>
          <cell r="I139" t="str">
            <v xml:space="preserve"> - </v>
          </cell>
        </row>
        <row r="140">
          <cell r="C140">
            <v>12</v>
          </cell>
          <cell r="E140"/>
          <cell r="G140">
            <v>46382</v>
          </cell>
          <cell r="I140" t="str">
            <v xml:space="preserve"> - </v>
          </cell>
        </row>
        <row r="141">
          <cell r="C141">
            <v>12</v>
          </cell>
          <cell r="E141"/>
          <cell r="G141">
            <v>46022</v>
          </cell>
          <cell r="I141" t="str">
            <v xml:space="preserve"> - </v>
          </cell>
        </row>
        <row r="142">
          <cell r="C142">
            <v>12</v>
          </cell>
          <cell r="E142"/>
          <cell r="G142">
            <v>46387</v>
          </cell>
          <cell r="I142" t="str">
            <v xml:space="preserve"> - </v>
          </cell>
        </row>
        <row r="143">
          <cell r="C143"/>
          <cell r="E143"/>
          <cell r="G143" t="str">
            <v xml:space="preserve"> - </v>
          </cell>
          <cell r="I143" t="str">
            <v xml:space="preserve"> - </v>
          </cell>
        </row>
        <row r="144">
          <cell r="C144"/>
          <cell r="E144"/>
          <cell r="G144" t="str">
            <v xml:space="preserve"> - </v>
          </cell>
          <cell r="I144" t="str">
            <v xml:space="preserve"> - </v>
          </cell>
        </row>
        <row r="145">
          <cell r="C145"/>
          <cell r="E145"/>
          <cell r="G145" t="str">
            <v xml:space="preserve"> - </v>
          </cell>
          <cell r="I145" t="str">
            <v xml:space="preserve"> - </v>
          </cell>
        </row>
        <row r="146">
          <cell r="C146"/>
          <cell r="E146"/>
          <cell r="G146" t="str">
            <v xml:space="preserve"> - </v>
          </cell>
          <cell r="I146" t="str">
            <v xml:space="preserve"> - </v>
          </cell>
        </row>
        <row r="147">
          <cell r="C147"/>
          <cell r="E147"/>
          <cell r="G147" t="str">
            <v xml:space="preserve"> - </v>
          </cell>
          <cell r="I147" t="str">
            <v xml:space="preserve"> - </v>
          </cell>
        </row>
        <row r="148">
          <cell r="C148"/>
          <cell r="E148"/>
          <cell r="G148" t="str">
            <v xml:space="preserve"> - </v>
          </cell>
          <cell r="I148" t="str">
            <v xml:space="preserve"> - </v>
          </cell>
        </row>
        <row r="149">
          <cell r="C149"/>
          <cell r="E149"/>
          <cell r="G149" t="str">
            <v xml:space="preserve"> - </v>
          </cell>
          <cell r="I149" t="str">
            <v xml:space="preserve"> - </v>
          </cell>
        </row>
        <row r="150">
          <cell r="C150"/>
          <cell r="E150"/>
          <cell r="G150" t="str">
            <v xml:space="preserve"> - </v>
          </cell>
          <cell r="I150" t="str">
            <v xml:space="preserve"> - </v>
          </cell>
        </row>
        <row r="151">
          <cell r="C151"/>
          <cell r="E151"/>
          <cell r="G151" t="str">
            <v xml:space="preserve"> - </v>
          </cell>
          <cell r="I151" t="str">
            <v xml:space="preserve"> - </v>
          </cell>
        </row>
        <row r="152">
          <cell r="C152"/>
          <cell r="E152"/>
          <cell r="G152" t="str">
            <v xml:space="preserve"> - </v>
          </cell>
          <cell r="I152" t="str">
            <v xml:space="preserve"> - </v>
          </cell>
        </row>
        <row r="153">
          <cell r="C153"/>
          <cell r="E153"/>
          <cell r="G153" t="str">
            <v xml:space="preserve"> - </v>
          </cell>
          <cell r="I153" t="str">
            <v xml:space="preserve"> - </v>
          </cell>
        </row>
        <row r="154">
          <cell r="C154"/>
          <cell r="E154"/>
          <cell r="G154" t="str">
            <v xml:space="preserve"> - </v>
          </cell>
          <cell r="I154" t="str">
            <v xml:space="preserve"> - </v>
          </cell>
        </row>
        <row r="155">
          <cell r="C155"/>
          <cell r="E155"/>
          <cell r="G155" t="str">
            <v xml:space="preserve"> - </v>
          </cell>
          <cell r="I155" t="str">
            <v xml:space="preserve"> - </v>
          </cell>
        </row>
        <row r="156">
          <cell r="C156"/>
          <cell r="E156"/>
          <cell r="G156" t="str">
            <v xml:space="preserve"> - </v>
          </cell>
          <cell r="I156" t="str">
            <v xml:space="preserve"> - </v>
          </cell>
        </row>
        <row r="157">
          <cell r="C157"/>
          <cell r="E157"/>
          <cell r="G157" t="str">
            <v xml:space="preserve"> - </v>
          </cell>
          <cell r="I157" t="str">
            <v xml:space="preserve"> - </v>
          </cell>
        </row>
        <row r="158">
          <cell r="C158"/>
          <cell r="E158"/>
          <cell r="G158" t="str">
            <v xml:space="preserve"> - </v>
          </cell>
          <cell r="I158" t="str">
            <v xml:space="preserve"> - </v>
          </cell>
        </row>
        <row r="159">
          <cell r="C159"/>
          <cell r="E159"/>
          <cell r="G159" t="str">
            <v xml:space="preserve"> - </v>
          </cell>
          <cell r="I159" t="str">
            <v xml:space="preserve"> - </v>
          </cell>
        </row>
        <row r="160">
          <cell r="C160"/>
          <cell r="E160"/>
          <cell r="G160" t="str">
            <v xml:space="preserve"> - </v>
          </cell>
          <cell r="I160" t="str">
            <v xml:space="preserve"> - </v>
          </cell>
        </row>
        <row r="161">
          <cell r="C161"/>
          <cell r="E161"/>
          <cell r="G161" t="str">
            <v xml:space="preserve"> - </v>
          </cell>
          <cell r="I161" t="str">
            <v xml:space="preserve"> - </v>
          </cell>
        </row>
        <row r="162">
          <cell r="C162"/>
          <cell r="E162"/>
          <cell r="G162" t="str">
            <v xml:space="preserve"> - </v>
          </cell>
          <cell r="I162" t="str">
            <v xml:space="preserve"> - </v>
          </cell>
        </row>
        <row r="163">
          <cell r="C163"/>
          <cell r="E163"/>
          <cell r="G163" t="str">
            <v xml:space="preserve"> - </v>
          </cell>
          <cell r="I163" t="str">
            <v xml:space="preserve"> - </v>
          </cell>
        </row>
        <row r="164">
          <cell r="C164"/>
          <cell r="E164"/>
          <cell r="G164" t="str">
            <v xml:space="preserve"> - </v>
          </cell>
          <cell r="I164" t="str">
            <v xml:space="preserve"> - </v>
          </cell>
        </row>
        <row r="165">
          <cell r="C165"/>
          <cell r="E165"/>
          <cell r="G165" t="str">
            <v xml:space="preserve"> - </v>
          </cell>
          <cell r="I165" t="str">
            <v xml:space="preserve"> - </v>
          </cell>
        </row>
        <row r="166">
          <cell r="C166"/>
          <cell r="E166"/>
          <cell r="G166" t="str">
            <v xml:space="preserve"> - </v>
          </cell>
          <cell r="I166" t="str">
            <v xml:space="preserve"> - </v>
          </cell>
        </row>
        <row r="167">
          <cell r="C167"/>
          <cell r="E167"/>
          <cell r="G167" t="str">
            <v xml:space="preserve"> - </v>
          </cell>
          <cell r="I167" t="str">
            <v xml:space="preserve"> - </v>
          </cell>
        </row>
        <row r="168">
          <cell r="C168"/>
          <cell r="E168"/>
          <cell r="G168" t="str">
            <v xml:space="preserve"> - </v>
          </cell>
          <cell r="I168" t="str">
            <v xml:space="preserve"> - </v>
          </cell>
        </row>
        <row r="169">
          <cell r="C169"/>
          <cell r="E169"/>
          <cell r="G169" t="str">
            <v xml:space="preserve"> - </v>
          </cell>
          <cell r="I169" t="str">
            <v xml:space="preserve"> - </v>
          </cell>
        </row>
        <row r="170">
          <cell r="C170"/>
          <cell r="E170"/>
          <cell r="G170" t="str">
            <v xml:space="preserve"> - </v>
          </cell>
          <cell r="I170" t="str">
            <v xml:space="preserve"> - </v>
          </cell>
        </row>
        <row r="171">
          <cell r="C171"/>
          <cell r="E171"/>
          <cell r="G171" t="str">
            <v xml:space="preserve"> - </v>
          </cell>
          <cell r="I171" t="str">
            <v xml:space="preserve"> - </v>
          </cell>
        </row>
        <row r="172">
          <cell r="C172"/>
          <cell r="E172"/>
          <cell r="G172" t="str">
            <v xml:space="preserve"> - </v>
          </cell>
          <cell r="I172" t="str">
            <v xml:space="preserve"> - </v>
          </cell>
        </row>
        <row r="173">
          <cell r="C173"/>
          <cell r="E173"/>
          <cell r="G173" t="str">
            <v xml:space="preserve"> - </v>
          </cell>
          <cell r="I173" t="str">
            <v xml:space="preserve"> - </v>
          </cell>
        </row>
        <row r="174">
          <cell r="C174"/>
          <cell r="E174"/>
          <cell r="G174" t="str">
            <v xml:space="preserve"> - </v>
          </cell>
          <cell r="I174" t="str">
            <v xml:space="preserve"> - </v>
          </cell>
        </row>
        <row r="175">
          <cell r="C175"/>
          <cell r="E175"/>
          <cell r="G175" t="str">
            <v xml:space="preserve"> - </v>
          </cell>
          <cell r="I175" t="str">
            <v xml:space="preserve"> - </v>
          </cell>
        </row>
        <row r="176">
          <cell r="C176"/>
          <cell r="E176"/>
          <cell r="G176" t="str">
            <v xml:space="preserve"> - </v>
          </cell>
          <cell r="I176" t="str">
            <v xml:space="preserve"> - </v>
          </cell>
        </row>
        <row r="177">
          <cell r="C177"/>
          <cell r="E177"/>
          <cell r="G177" t="str">
            <v xml:space="preserve"> - </v>
          </cell>
          <cell r="I177" t="str">
            <v xml:space="preserve"> - </v>
          </cell>
        </row>
        <row r="178">
          <cell r="C178"/>
          <cell r="E178"/>
          <cell r="G178" t="str">
            <v xml:space="preserve"> - </v>
          </cell>
          <cell r="I178" t="str">
            <v xml:space="preserve"> - </v>
          </cell>
        </row>
        <row r="179">
          <cell r="C179"/>
          <cell r="E179"/>
          <cell r="G179" t="str">
            <v xml:space="preserve"> - </v>
          </cell>
          <cell r="I179" t="str">
            <v xml:space="preserve"> - </v>
          </cell>
        </row>
        <row r="180">
          <cell r="C180"/>
          <cell r="E180"/>
          <cell r="G180" t="str">
            <v xml:space="preserve"> - </v>
          </cell>
          <cell r="I180" t="str">
            <v xml:space="preserve"> - </v>
          </cell>
        </row>
        <row r="181">
          <cell r="C181"/>
          <cell r="E181"/>
          <cell r="G181" t="str">
            <v xml:space="preserve"> - </v>
          </cell>
          <cell r="I181" t="str">
            <v xml:space="preserve"> - </v>
          </cell>
        </row>
        <row r="182">
          <cell r="C182"/>
          <cell r="E182"/>
          <cell r="G182" t="str">
            <v xml:space="preserve"> - </v>
          </cell>
          <cell r="I182" t="str">
            <v xml:space="preserve"> - </v>
          </cell>
        </row>
        <row r="183">
          <cell r="C183"/>
          <cell r="E183"/>
          <cell r="G183" t="str">
            <v xml:space="preserve"> - </v>
          </cell>
          <cell r="I183" t="str">
            <v xml:space="preserve"> - </v>
          </cell>
        </row>
        <row r="184">
          <cell r="C184"/>
          <cell r="E184"/>
          <cell r="G184" t="str">
            <v xml:space="preserve"> - </v>
          </cell>
          <cell r="I184" t="str">
            <v xml:space="preserve"> - </v>
          </cell>
        </row>
        <row r="185">
          <cell r="C185"/>
          <cell r="E185"/>
          <cell r="G185" t="str">
            <v xml:space="preserve"> - </v>
          </cell>
          <cell r="I185" t="str">
            <v xml:space="preserve"> - </v>
          </cell>
        </row>
        <row r="186">
          <cell r="C186"/>
          <cell r="E186"/>
          <cell r="G186" t="str">
            <v xml:space="preserve"> - </v>
          </cell>
          <cell r="I186" t="str">
            <v xml:space="preserve"> - </v>
          </cell>
        </row>
        <row r="187">
          <cell r="C187"/>
          <cell r="E187"/>
          <cell r="G187" t="str">
            <v xml:space="preserve"> - </v>
          </cell>
          <cell r="I187" t="str">
            <v xml:space="preserve"> - </v>
          </cell>
        </row>
        <row r="188">
          <cell r="C188"/>
          <cell r="E188"/>
          <cell r="G188" t="str">
            <v xml:space="preserve"> - </v>
          </cell>
          <cell r="I188" t="str">
            <v xml:space="preserve"> - </v>
          </cell>
        </row>
        <row r="189">
          <cell r="C189"/>
          <cell r="E189"/>
          <cell r="G189" t="str">
            <v xml:space="preserve"> - </v>
          </cell>
          <cell r="I189" t="str">
            <v xml:space="preserve"> - </v>
          </cell>
        </row>
        <row r="190">
          <cell r="C190"/>
          <cell r="E190"/>
          <cell r="G190" t="str">
            <v xml:space="preserve"> - </v>
          </cell>
          <cell r="I190" t="str">
            <v xml:space="preserve"> - </v>
          </cell>
        </row>
        <row r="191">
          <cell r="C191"/>
          <cell r="E191"/>
          <cell r="G191" t="str">
            <v xml:space="preserve"> - </v>
          </cell>
          <cell r="I191" t="str">
            <v xml:space="preserve"> - </v>
          </cell>
        </row>
        <row r="192">
          <cell r="C192"/>
          <cell r="E192"/>
          <cell r="G192" t="str">
            <v xml:space="preserve"> - </v>
          </cell>
          <cell r="I192" t="str">
            <v xml:space="preserve"> - </v>
          </cell>
        </row>
      </sheetData>
      <sheetData sheetId="5"/>
      <sheetData sheetId="6"/>
    </sheetDataSet>
  </externalBook>
</externalLink>
</file>

<file path=xl/theme/theme1.xml><?xml version="1.0" encoding="utf-8"?>
<a:theme xmlns:a="http://schemas.openxmlformats.org/drawingml/2006/main" name="Vertex42">
  <a:themeElements>
    <a:clrScheme name="V42-Blue2">
      <a:dk1>
        <a:sysClr val="windowText" lastClr="000000"/>
      </a:dk1>
      <a:lt1>
        <a:sysClr val="window" lastClr="FFFFFF"/>
      </a:lt1>
      <a:dk2>
        <a:srgbClr val="1F497D"/>
      </a:dk2>
      <a:lt2>
        <a:srgbClr val="EEECE2"/>
      </a:lt2>
      <a:accent1>
        <a:srgbClr val="3A5D9C"/>
      </a:accent1>
      <a:accent2>
        <a:srgbClr val="C04E4E"/>
      </a:accent2>
      <a:accent3>
        <a:srgbClr val="3D8A16"/>
      </a:accent3>
      <a:accent4>
        <a:srgbClr val="7860B4"/>
      </a:accent4>
      <a:accent5>
        <a:srgbClr val="E68422"/>
      </a:accent5>
      <a:accent6>
        <a:srgbClr val="846648"/>
      </a:accent6>
      <a:hlink>
        <a:srgbClr val="4C92AE"/>
      </a:hlink>
      <a:folHlink>
        <a:srgbClr val="969696"/>
      </a:folHlink>
    </a:clrScheme>
    <a:fontScheme name="Office Classic 2">
      <a:majorFont>
        <a:latin typeface="Arial"/>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calendars/quarterly-calendar.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vertex42.com/calendars/quarterly-calendar.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vertex42.com/calendars/quarterly-calendar.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vertex42.com/calendars/quarterly-calendar.html" TargetMode="Externa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vertex42.com/calendars/personal-planner.html" TargetMode="External"/><Relationship Id="rId2" Type="http://schemas.openxmlformats.org/officeDocument/2006/relationships/hyperlink" Target="https://www.vertex42.com/calendars/monthly-calendar.html" TargetMode="External"/><Relationship Id="rId1" Type="http://schemas.openxmlformats.org/officeDocument/2006/relationships/hyperlink" Target="https://www.vertex42.com/calendars/quarterly-calendar.html" TargetMode="External"/><Relationship Id="rId5" Type="http://schemas.openxmlformats.org/officeDocument/2006/relationships/drawing" Target="../drawings/drawing2.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vertex42.com/calendars/quarterly-calendar.html" TargetMode="External"/><Relationship Id="rId1" Type="http://schemas.openxmlformats.org/officeDocument/2006/relationships/hyperlink" Target="https://www.vertex42.com/licensing/EULA_privateuse.html" TargetMode="External"/><Relationship Id="rId5" Type="http://schemas.openxmlformats.org/officeDocument/2006/relationships/image" Target="../media/image3.png"/><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86"/>
  <sheetViews>
    <sheetView showGridLines="0" topLeftCell="A4" zoomScaleNormal="100" workbookViewId="0">
      <selection activeCell="A6" sqref="A6:XFD8"/>
    </sheetView>
  </sheetViews>
  <sheetFormatPr defaultRowHeight="13.2" x14ac:dyDescent="0.25"/>
  <cols>
    <col min="2" max="2" width="2.77734375" customWidth="1"/>
    <col min="3" max="3" width="4.33203125" customWidth="1"/>
    <col min="4" max="4" width="8.33203125" customWidth="1"/>
    <col min="5" max="5" width="4.33203125" customWidth="1"/>
    <col min="6" max="6" width="8.33203125" customWidth="1"/>
    <col min="7" max="7" width="4.33203125" customWidth="1"/>
    <col min="8" max="8" width="8.33203125" customWidth="1"/>
    <col min="9" max="9" width="4.33203125" customWidth="1"/>
    <col min="10" max="10" width="8.33203125" customWidth="1"/>
    <col min="11" max="11" width="4.33203125" customWidth="1"/>
    <col min="12" max="12" width="8.44140625" customWidth="1"/>
    <col min="13" max="13" width="4.33203125" customWidth="1"/>
    <col min="14" max="14" width="8.21875" customWidth="1"/>
    <col min="15" max="15" width="4.33203125" customWidth="1"/>
    <col min="16" max="16" width="8.33203125" customWidth="1"/>
    <col min="17" max="17" width="0.5546875" customWidth="1"/>
    <col min="18" max="18" width="8.88671875" style="100"/>
  </cols>
  <sheetData>
    <row r="1" spans="1:18" ht="24.75" hidden="1" customHeight="1" x14ac:dyDescent="0.25">
      <c r="C1" s="44" t="s">
        <v>88</v>
      </c>
      <c r="D1" s="45"/>
      <c r="E1" s="45"/>
      <c r="F1" s="4"/>
      <c r="G1" s="4"/>
      <c r="H1" s="45"/>
      <c r="I1" s="45"/>
      <c r="J1" s="45"/>
      <c r="K1" s="45"/>
      <c r="L1" s="4"/>
      <c r="M1" s="46"/>
      <c r="N1" s="4"/>
      <c r="O1" s="47"/>
      <c r="P1" s="42"/>
    </row>
    <row r="2" spans="1:18" hidden="1" x14ac:dyDescent="0.25">
      <c r="C2" s="43" t="s">
        <v>11</v>
      </c>
      <c r="D2" s="11">
        <v>2025</v>
      </c>
      <c r="E2" s="4"/>
      <c r="F2" s="4"/>
      <c r="G2" s="43" t="s">
        <v>86</v>
      </c>
      <c r="H2" s="11">
        <v>1</v>
      </c>
      <c r="I2" s="10"/>
      <c r="J2" s="10"/>
      <c r="K2" s="43" t="s">
        <v>87</v>
      </c>
      <c r="L2" s="11">
        <v>1</v>
      </c>
      <c r="M2" s="12" t="s">
        <v>0</v>
      </c>
      <c r="N2" s="12"/>
      <c r="O2" s="13"/>
      <c r="P2" s="14" t="s">
        <v>77</v>
      </c>
    </row>
    <row r="3" spans="1:18" hidden="1" x14ac:dyDescent="0.25">
      <c r="C3" s="4"/>
      <c r="D3" s="4"/>
      <c r="E3" s="4"/>
      <c r="F3" s="4"/>
      <c r="G3" s="4"/>
      <c r="H3" s="4"/>
      <c r="I3" s="4"/>
      <c r="J3" s="4"/>
      <c r="K3" s="4"/>
      <c r="L3" s="4"/>
      <c r="M3" s="4"/>
      <c r="N3" s="4"/>
      <c r="O3" s="4"/>
      <c r="P3" s="49" t="s">
        <v>91</v>
      </c>
    </row>
    <row r="5" spans="1:18" ht="23.4" customHeight="1" x14ac:dyDescent="0.25">
      <c r="C5" s="58" t="s">
        <v>169</v>
      </c>
      <c r="I5" s="210"/>
      <c r="J5" s="210"/>
      <c r="K5" s="210"/>
      <c r="L5" s="210"/>
      <c r="M5" s="210"/>
      <c r="N5" s="210"/>
      <c r="O5" s="210"/>
      <c r="P5" s="210"/>
    </row>
    <row r="6" spans="1:18" ht="13.2" customHeight="1" x14ac:dyDescent="0.25">
      <c r="D6" s="57"/>
      <c r="E6" s="57"/>
      <c r="F6" s="57"/>
      <c r="G6" s="57"/>
      <c r="H6" s="57"/>
      <c r="I6" s="210"/>
      <c r="J6" s="210"/>
      <c r="K6" s="210"/>
      <c r="L6" s="210"/>
      <c r="M6" s="210"/>
      <c r="N6" s="210"/>
      <c r="O6" s="210"/>
      <c r="P6" s="210"/>
    </row>
    <row r="7" spans="1:18" s="1" customFormat="1" ht="10.199999999999999" customHeight="1" x14ac:dyDescent="0.2">
      <c r="C7" s="1" t="s">
        <v>1</v>
      </c>
      <c r="D7" s="6">
        <f>DATE(D2,H2,1)</f>
        <v>45658</v>
      </c>
      <c r="R7" s="101"/>
    </row>
    <row r="8" spans="1:18" s="2" customFormat="1" ht="18" customHeight="1" x14ac:dyDescent="0.25">
      <c r="A8" s="143">
        <f>D7</f>
        <v>45658</v>
      </c>
      <c r="C8" s="144" t="s">
        <v>109</v>
      </c>
      <c r="D8" s="145"/>
      <c r="E8" s="144" t="s">
        <v>110</v>
      </c>
      <c r="F8" s="145"/>
      <c r="G8" s="144" t="s">
        <v>111</v>
      </c>
      <c r="H8" s="145"/>
      <c r="I8" s="144" t="s">
        <v>112</v>
      </c>
      <c r="J8" s="145"/>
      <c r="K8" s="144" t="s">
        <v>113</v>
      </c>
      <c r="L8" s="145"/>
      <c r="M8" s="144" t="s">
        <v>114</v>
      </c>
      <c r="N8" s="145"/>
      <c r="O8" s="144" t="s">
        <v>115</v>
      </c>
      <c r="P8" s="145"/>
      <c r="R8" s="96" t="s">
        <v>132</v>
      </c>
    </row>
    <row r="9" spans="1:18" s="2" customFormat="1" x14ac:dyDescent="0.25">
      <c r="A9" s="143"/>
      <c r="C9" s="50" t="str">
        <f>IF(WEEKDAY($D$7,1)=startday,$D$7,"")</f>
        <v/>
      </c>
      <c r="D9" s="52" t="str">
        <f>IFERROR(INDEX(Events!$A:$A,MATCH(C9,Events!$G:$G,0)),"")</f>
        <v/>
      </c>
      <c r="E9" s="50" t="str">
        <f>IF(C9="",IF(WEEKDAY($D$7,1)=MOD(startday,7)+1,$D$7,""),C9+1)</f>
        <v/>
      </c>
      <c r="F9" s="52" t="str">
        <f>IFERROR(INDEX(Events!$A:$A,MATCH(E9,Events!$G:$G,0)),"")</f>
        <v/>
      </c>
      <c r="G9" s="50" t="str">
        <f>IF(E9="",IF(WEEKDAY($D$7,1)=MOD(startday+1,7)+1,$D$7,""),E9+1)</f>
        <v/>
      </c>
      <c r="H9" s="52" t="str">
        <f>IFERROR(INDEX(Events!$A:$A,MATCH(G9,Events!$G:$G,0)),"")</f>
        <v/>
      </c>
      <c r="I9" s="50">
        <f>IF(G9="",IF(WEEKDAY($D$7,1)=MOD(startday+2,7)+1,$D$7,""),G9+1)</f>
        <v>45658</v>
      </c>
      <c r="J9" s="52" t="str">
        <f>IFERROR(INDEX(Events!$A:$A,MATCH(I9,Events!$G:$G,0)),"")</f>
        <v>New Year's Day</v>
      </c>
      <c r="K9" s="91">
        <f>IF(I9="",IF(WEEKDAY($D$7,1)=MOD(startday+3,7)+1,$D$7,""),I9+1)</f>
        <v>45659</v>
      </c>
      <c r="L9" s="92" t="s">
        <v>141</v>
      </c>
      <c r="M9" s="50">
        <f>IF(K9="",IF(WEEKDAY($D$7,1)=MOD(startday+4,7)+1,$D$7,""),K9+1)</f>
        <v>45660</v>
      </c>
      <c r="N9" s="97" t="s">
        <v>142</v>
      </c>
      <c r="O9" s="50">
        <f>IF(M9="",IF(WEEKDAY($D$7,1)=MOD(startday+5,7)+1,$D$7,""),M9+1)</f>
        <v>45661</v>
      </c>
      <c r="P9" s="52" t="str">
        <f>IFERROR(INDEX(Events!$A:$A,MATCH(O9,Events!$G:$G,0)),"")</f>
        <v/>
      </c>
      <c r="R9" s="150" t="s">
        <v>124</v>
      </c>
    </row>
    <row r="10" spans="1:18" s="53" customFormat="1" ht="10.199999999999999" customHeight="1" x14ac:dyDescent="0.25">
      <c r="A10" s="143"/>
      <c r="C10" s="146" t="str">
        <f ca="1">IFERROR(INDEX(Events!$A:$A,MATCH(C9,Events!$H:$H,0)),"")</f>
        <v/>
      </c>
      <c r="D10" s="147" t="str">
        <f ca="1">IFERROR(INDEX(Events!#REF!,MATCH(C10,Events!A:A,0)),"")</f>
        <v/>
      </c>
      <c r="E10" s="146" t="str">
        <f ca="1">IFERROR(INDEX(Events!$A:$A,MATCH(E9,Events!$H:$H,0)),"")</f>
        <v/>
      </c>
      <c r="F10" s="147" t="str">
        <f ca="1">IFERROR(INDEX(Events!#REF!,MATCH(E10,Events!C:C,0)),"")</f>
        <v/>
      </c>
      <c r="G10" s="146" t="str">
        <f ca="1">IFERROR(INDEX(Events!$A:$A,MATCH(G9,Events!$H:$H,0)),"")</f>
        <v/>
      </c>
      <c r="H10" s="147" t="str">
        <f ca="1">IFERROR(INDEX(Events!#REF!,MATCH(G10,Events!E:E,0)),"")</f>
        <v/>
      </c>
      <c r="I10" s="146" t="str">
        <f ca="1">IFERROR(INDEX(Events!$A:$A,MATCH(I9,Events!$H:$H,0)),"")</f>
        <v/>
      </c>
      <c r="J10" s="147" t="str">
        <f ca="1">IFERROR(INDEX(Events!A:A,MATCH(I10,Events!G:G,0)),"")</f>
        <v/>
      </c>
      <c r="K10" s="151" t="s">
        <v>116</v>
      </c>
      <c r="L10" s="152" t="str">
        <f ca="1">IFERROR(INDEX(Events!C:C,MATCH(K10,Events!I:I,0)),"")</f>
        <v/>
      </c>
      <c r="M10" s="153" t="s">
        <v>181</v>
      </c>
      <c r="N10" s="154"/>
      <c r="O10" s="146" t="str">
        <f ca="1">IFERROR(INDEX(Events!$A:$A,MATCH(O9,Events!$H:$H,0)),"")</f>
        <v/>
      </c>
      <c r="P10" s="147" t="str">
        <f ca="1">IFERROR(INDEX(Events!G:G,MATCH(O10,Events!K:K,0)),"")</f>
        <v/>
      </c>
      <c r="R10" s="150"/>
    </row>
    <row r="11" spans="1:18" s="53" customFormat="1" ht="10.199999999999999" customHeight="1" x14ac:dyDescent="0.25">
      <c r="A11" s="143"/>
      <c r="C11" s="146" t="str">
        <f ca="1">IFERROR(INDEX(Events!$A:$A,MATCH(C9,Events!$I:$I,0)),"")</f>
        <v/>
      </c>
      <c r="D11" s="147"/>
      <c r="E11" s="146" t="str">
        <f ca="1">IFERROR(INDEX(Events!$A:$A,MATCH(E9,Events!$I:$I,0)),"")</f>
        <v/>
      </c>
      <c r="F11" s="147"/>
      <c r="G11" s="146" t="str">
        <f ca="1">IFERROR(INDEX(Events!$A:$A,MATCH(G9,Events!$I:$I,0)),"")</f>
        <v/>
      </c>
      <c r="H11" s="147"/>
      <c r="I11" s="146" t="str">
        <f ca="1">IFERROR(INDEX(Events!$A:$A,MATCH(I9,Events!$I:$I,0)),"")</f>
        <v/>
      </c>
      <c r="J11" s="147"/>
      <c r="K11" s="151"/>
      <c r="L11" s="152"/>
      <c r="M11" s="146" t="str">
        <f ca="1">IFERROR(INDEX(Events!$A:$A,MATCH(M9,Events!$I:$I,0)),"")</f>
        <v/>
      </c>
      <c r="N11" s="147"/>
      <c r="O11" s="146" t="str">
        <f ca="1">IFERROR(INDEX(Events!$A:$A,MATCH(O9,Events!$I:$I,0)),"")</f>
        <v/>
      </c>
      <c r="P11" s="147"/>
      <c r="R11" s="150"/>
    </row>
    <row r="12" spans="1:18" s="53" customFormat="1" ht="10.199999999999999" customHeight="1" x14ac:dyDescent="0.25">
      <c r="A12" s="143"/>
      <c r="C12" s="146" t="str">
        <f ca="1">IFERROR(INDEX(Events!$A:$A,MATCH(C9,Events!$J:$J,0)),"")</f>
        <v/>
      </c>
      <c r="D12" s="147"/>
      <c r="E12" s="146" t="str">
        <f ca="1">IFERROR(INDEX(Events!$A:$A,MATCH(E9,Events!$J:$J,0)),"")</f>
        <v/>
      </c>
      <c r="F12" s="147"/>
      <c r="G12" s="146" t="str">
        <f ca="1">IFERROR(INDEX(Events!$A:$A,MATCH(G9,Events!$J:$J,0)),"")</f>
        <v/>
      </c>
      <c r="H12" s="147"/>
      <c r="I12" s="146" t="str">
        <f ca="1">IFERROR(INDEX(Events!$A:$A,MATCH(I9,Events!$J:$J,0)),"")</f>
        <v/>
      </c>
      <c r="J12" s="147"/>
      <c r="K12" s="151" t="s">
        <v>123</v>
      </c>
      <c r="L12" s="152"/>
      <c r="M12" s="146" t="str">
        <f ca="1">IFERROR(INDEX(Events!$A:$A,MATCH(M9,Events!$J:$J,0)),"")</f>
        <v/>
      </c>
      <c r="N12" s="147"/>
      <c r="O12" s="146" t="str">
        <f ca="1">IFERROR(INDEX(Events!$A:$A,MATCH(O9,Events!$J:$J,0)),"")</f>
        <v/>
      </c>
      <c r="P12" s="147"/>
      <c r="R12" s="150"/>
    </row>
    <row r="13" spans="1:18" s="2" customFormat="1" x14ac:dyDescent="0.25">
      <c r="A13" s="143"/>
      <c r="C13" s="50">
        <f>IF(O9="","",IF(MONTH(O9+1)&lt;&gt;MONTH(O9),"",O9+1))</f>
        <v>45662</v>
      </c>
      <c r="D13" s="52" t="str">
        <f>IFERROR(INDEX(Events!$A:$A,MATCH(C13,Events!$G:$G,0)),"")</f>
        <v/>
      </c>
      <c r="E13" s="50">
        <f>IF(C13="","",IF(MONTH(C13+1)&lt;&gt;MONTH(C13),"",C13+1))</f>
        <v>45663</v>
      </c>
      <c r="F13" s="97" t="s">
        <v>150</v>
      </c>
      <c r="G13" s="50">
        <f>IF(E13="","",IF(MONTH(E13+1)&lt;&gt;MONTH(E13),"",E13+1))</f>
        <v>45664</v>
      </c>
      <c r="H13" s="97" t="s">
        <v>143</v>
      </c>
      <c r="I13" s="50">
        <f>IF(G13="","",IF(MONTH(G13+1)&lt;&gt;MONTH(G13),"",G13+1))</f>
        <v>45665</v>
      </c>
      <c r="J13" s="97" t="s">
        <v>144</v>
      </c>
      <c r="K13" s="50">
        <f>IF(I13="","",IF(MONTH(I13+1)&lt;&gt;MONTH(I13),"",I13+1))</f>
        <v>45666</v>
      </c>
      <c r="L13" s="97" t="s">
        <v>145</v>
      </c>
      <c r="M13" s="50">
        <f>IF(K13="","",IF(MONTH(K13+1)&lt;&gt;MONTH(K13),"",K13+1))</f>
        <v>45667</v>
      </c>
      <c r="N13" s="97" t="s">
        <v>146</v>
      </c>
      <c r="O13" s="50">
        <f>IF(M13="","",IF(MONTH(M13+1)&lt;&gt;MONTH(M13),"",M13+1))</f>
        <v>45668</v>
      </c>
      <c r="P13" s="97" t="s">
        <v>147</v>
      </c>
      <c r="R13" s="150" t="s">
        <v>125</v>
      </c>
    </row>
    <row r="14" spans="1:18" s="53" customFormat="1" ht="10.199999999999999" customHeight="1" x14ac:dyDescent="0.25">
      <c r="A14" s="143"/>
      <c r="C14" s="146" t="str">
        <f ca="1">IFERROR(INDEX(Events!$A:$A,MATCH(C13,Events!$H:$H,0)),"")</f>
        <v/>
      </c>
      <c r="D14" s="147" t="str">
        <f ca="1">IFERROR(INDEX(Events!#REF!,MATCH(C14,Events!A:A,0)),"")</f>
        <v/>
      </c>
      <c r="E14" s="146" t="str">
        <f ca="1">IFERROR(INDEX(Events!$A:$A,MATCH(E13,Events!$H:$H,0)),"")</f>
        <v/>
      </c>
      <c r="F14" s="147" t="str">
        <f ca="1">IFERROR(INDEX(Events!#REF!,MATCH(E14,Events!C:C,0)),"")</f>
        <v/>
      </c>
      <c r="G14" s="146" t="str">
        <f ca="1">IFERROR(INDEX(Events!$A:$A,MATCH(G13,Events!$H:$H,0)),"")</f>
        <v/>
      </c>
      <c r="H14" s="147" t="str">
        <f ca="1">IFERROR(INDEX(Events!#REF!,MATCH(G14,Events!E:E,0)),"")</f>
        <v/>
      </c>
      <c r="I14" s="146" t="str">
        <f ca="1">IFERROR(INDEX(Events!$A:$A,MATCH(I13,Events!$H:$H,0)),"")</f>
        <v/>
      </c>
      <c r="J14" s="147" t="str">
        <f ca="1">IFERROR(INDEX(Events!A:A,MATCH(I14,Events!G:G,0)),"")</f>
        <v/>
      </c>
      <c r="K14" s="158" t="s">
        <v>117</v>
      </c>
      <c r="L14" s="216" t="str">
        <f ca="1">IFERROR(INDEX(Events!C:C,MATCH(K14,Events!I:I,0)),"")</f>
        <v/>
      </c>
      <c r="M14" s="193" t="s">
        <v>119</v>
      </c>
      <c r="N14" s="167" t="str">
        <f>IFERROR(INDEX(Events!E:E,MATCH(M14,Events!#REF!,0)),"")</f>
        <v/>
      </c>
      <c r="O14" s="146" t="str">
        <f ca="1">IFERROR(INDEX(Events!$A:$A,MATCH(O13,Events!$H:$H,0)),"")</f>
        <v/>
      </c>
      <c r="P14" s="147" t="str">
        <f ca="1">IFERROR(INDEX(Events!G:G,MATCH(O14,Events!K:K,0)),"")</f>
        <v/>
      </c>
      <c r="R14" s="150"/>
    </row>
    <row r="15" spans="1:18" s="53" customFormat="1" ht="10.199999999999999" customHeight="1" x14ac:dyDescent="0.25">
      <c r="A15" s="143"/>
      <c r="C15" s="146" t="str">
        <f ca="1">IFERROR(INDEX(Events!$A:$A,MATCH(C13,Events!$I:$I,0)),"")</f>
        <v/>
      </c>
      <c r="D15" s="147"/>
      <c r="E15" s="146" t="str">
        <f ca="1">IFERROR(INDEX(Events!$A:$A,MATCH(E13,Events!$I:$I,0)),"")</f>
        <v/>
      </c>
      <c r="F15" s="147"/>
      <c r="G15" s="146" t="str">
        <f ca="1">IFERROR(INDEX(Events!$A:$A,MATCH(G13,Events!$I:$I,0)),"")</f>
        <v/>
      </c>
      <c r="H15" s="147"/>
      <c r="I15" s="146" t="str">
        <f ca="1">IFERROR(INDEX(Events!$A:$A,MATCH(I13,Events!$I:$I,0)),"")</f>
        <v/>
      </c>
      <c r="J15" s="147"/>
      <c r="K15" s="158" t="s">
        <v>118</v>
      </c>
      <c r="L15" s="216"/>
      <c r="M15" s="146" t="str">
        <f ca="1">IFERROR(INDEX(Events!$A:$A,MATCH(M13,Events!$I:$I,0)),"")</f>
        <v/>
      </c>
      <c r="N15" s="147"/>
      <c r="O15" s="146" t="str">
        <f ca="1">IFERROR(INDEX(Events!$A:$A,MATCH(O13,Events!$I:$I,0)),"")</f>
        <v/>
      </c>
      <c r="P15" s="147"/>
      <c r="R15" s="150"/>
    </row>
    <row r="16" spans="1:18" s="53" customFormat="1" ht="10.199999999999999" customHeight="1" x14ac:dyDescent="0.25">
      <c r="A16" s="143"/>
      <c r="C16" s="146" t="str">
        <f ca="1">IFERROR(INDEX(Events!$A:$A,MATCH(C13,Events!$J:$J,0)),"")</f>
        <v/>
      </c>
      <c r="D16" s="147"/>
      <c r="E16" s="146" t="str">
        <f ca="1">IFERROR(INDEX(Events!$A:$A,MATCH(E13,Events!$J:$J,0)),"")</f>
        <v/>
      </c>
      <c r="F16" s="147"/>
      <c r="G16" s="146" t="str">
        <f ca="1">IFERROR(INDEX(Events!$A:$A,MATCH(G13,Events!$J:$J,0)),"")</f>
        <v/>
      </c>
      <c r="H16" s="147"/>
      <c r="I16" s="146" t="str">
        <f ca="1">IFERROR(INDEX(Events!$A:$A,MATCH(I13,Events!$J:$J,0)),"")</f>
        <v/>
      </c>
      <c r="J16" s="147"/>
      <c r="K16" s="146" t="str">
        <f ca="1">IFERROR(INDEX(Events!$A:$A,MATCH(K13,Events!$J:$J,0)),"")</f>
        <v/>
      </c>
      <c r="L16" s="147"/>
      <c r="M16" s="146" t="s">
        <v>120</v>
      </c>
      <c r="N16" s="147"/>
      <c r="O16" s="146" t="str">
        <f ca="1">IFERROR(INDEX(Events!$A:$A,MATCH(O13,Events!$J:$J,0)),"")</f>
        <v/>
      </c>
      <c r="P16" s="147"/>
      <c r="R16" s="150"/>
    </row>
    <row r="17" spans="1:18" s="2" customFormat="1" x14ac:dyDescent="0.25">
      <c r="A17" s="143"/>
      <c r="C17" s="50">
        <f>IF(O13="","",IF(MONTH(O13+1)&lt;&gt;MONTH(O13),"",O13+1))</f>
        <v>45669</v>
      </c>
      <c r="D17" s="52" t="str">
        <f>IFERROR(INDEX(Events!$A:$A,MATCH(C17,Events!$G:$G,0)),"")</f>
        <v/>
      </c>
      <c r="E17" s="50">
        <f>IF(C17="","",IF(MONTH(C17+1)&lt;&gt;MONTH(C17),"",C17+1))</f>
        <v>45670</v>
      </c>
      <c r="F17" s="97" t="s">
        <v>151</v>
      </c>
      <c r="G17" s="50">
        <f>IF(E17="","",IF(MONTH(E17+1)&lt;&gt;MONTH(E17),"",E17+1))</f>
        <v>45671</v>
      </c>
      <c r="H17" s="97" t="s">
        <v>153</v>
      </c>
      <c r="I17" s="50">
        <f>IF(G17="","",IF(MONTH(G17+1)&lt;&gt;MONTH(G17),"",G17+1))</f>
        <v>45672</v>
      </c>
      <c r="J17" s="97" t="s">
        <v>154</v>
      </c>
      <c r="K17" s="50">
        <f>IF(I17="","",IF(MONTH(I17+1)&lt;&gt;MONTH(I17),"",I17+1))</f>
        <v>45673</v>
      </c>
      <c r="L17" s="97" t="s">
        <v>155</v>
      </c>
      <c r="M17" s="50">
        <f>IF(K17="","",IF(MONTH(K17+1)&lt;&gt;MONTH(K17),"",K17+1))</f>
        <v>45674</v>
      </c>
      <c r="N17" s="97" t="s">
        <v>156</v>
      </c>
      <c r="O17" s="50">
        <f>IF(M17="","",IF(MONTH(M17+1)&lt;&gt;MONTH(M17),"",M17+1))</f>
        <v>45675</v>
      </c>
      <c r="P17" s="52" t="str">
        <f>IFERROR(INDEX(Events!$A:$A,MATCH(O17,Events!$G:$G,0)),"")</f>
        <v/>
      </c>
      <c r="R17" s="150" t="s">
        <v>126</v>
      </c>
    </row>
    <row r="18" spans="1:18" s="53" customFormat="1" ht="10.199999999999999" customHeight="1" x14ac:dyDescent="0.25">
      <c r="A18" s="143"/>
      <c r="C18" s="146" t="str">
        <f ca="1">IFERROR(INDEX(Events!$A:$A,MATCH(C17,Events!$H:$H,0)),"")</f>
        <v/>
      </c>
      <c r="D18" s="147" t="str">
        <f ca="1">IFERROR(INDEX(Events!#REF!,MATCH(C18,Events!A:A,0)),"")</f>
        <v/>
      </c>
      <c r="E18" s="146" t="str">
        <f ca="1">IFERROR(INDEX(Events!$A:$A,MATCH(E17,Events!$H:$H,0)),"")</f>
        <v/>
      </c>
      <c r="F18" s="147" t="str">
        <f ca="1">IFERROR(INDEX(Events!#REF!,MATCH(E18,Events!C:C,0)),"")</f>
        <v/>
      </c>
      <c r="G18" s="146" t="str">
        <f ca="1">IFERROR(INDEX(Events!$A:$A,MATCH(G17,Events!$H:$H,0)),"")</f>
        <v/>
      </c>
      <c r="H18" s="147" t="str">
        <f ca="1">IFERROR(INDEX(Events!#REF!,MATCH(G18,Events!E:E,0)),"")</f>
        <v/>
      </c>
      <c r="I18" s="146" t="str">
        <f ca="1">IFERROR(INDEX(Events!$A:$A,MATCH(I17,Events!$H:$H,0)),"")</f>
        <v/>
      </c>
      <c r="J18" s="147" t="str">
        <f ca="1">IFERROR(INDEX(Events!A:A,MATCH(I18,Events!G:G,0)),"")</f>
        <v/>
      </c>
      <c r="K18" s="146" t="str">
        <f ca="1">IFERROR(INDEX(Events!$A:$A,MATCH(K17,Events!$H:$H,0)),"")</f>
        <v/>
      </c>
      <c r="L18" s="147" t="str">
        <f ca="1">IFERROR(INDEX(Events!C:C,MATCH(K18,Events!I:I,0)),"")</f>
        <v/>
      </c>
      <c r="M18" s="146" t="str">
        <f ca="1">IFERROR(INDEX(Events!$A:$A,MATCH(M17,Events!$H:$H,0)),"")</f>
        <v/>
      </c>
      <c r="N18" s="147" t="str">
        <f ca="1">IFERROR(INDEX(Events!E:E,MATCH(M18,Events!#REF!,0)),"")</f>
        <v/>
      </c>
      <c r="O18" s="146" t="str">
        <f ca="1">IFERROR(INDEX(Events!$A:$A,MATCH(O17,Events!$H:$H,0)),"")</f>
        <v/>
      </c>
      <c r="P18" s="147" t="str">
        <f ca="1">IFERROR(INDEX(Events!G:G,MATCH(O18,Events!K:K,0)),"")</f>
        <v/>
      </c>
      <c r="R18" s="150"/>
    </row>
    <row r="19" spans="1:18" s="53" customFormat="1" ht="10.199999999999999" customHeight="1" x14ac:dyDescent="0.25">
      <c r="A19" s="143"/>
      <c r="C19" s="146" t="str">
        <f ca="1">IFERROR(INDEX(Events!$A:$A,MATCH(C17,Events!$I:$I,0)),"")</f>
        <v/>
      </c>
      <c r="D19" s="147"/>
      <c r="E19" s="209" t="s">
        <v>121</v>
      </c>
      <c r="F19" s="173"/>
      <c r="G19" s="146" t="str">
        <f ca="1">IFERROR(INDEX(Events!$A:$A,MATCH(G17,Events!$I:$I,0)),"")</f>
        <v/>
      </c>
      <c r="H19" s="147"/>
      <c r="I19" s="146" t="str">
        <f ca="1">IFERROR(INDEX(Events!$A:$A,MATCH(I17,Events!$I:$I,0)),"")</f>
        <v/>
      </c>
      <c r="J19" s="147"/>
      <c r="K19" s="146" t="str">
        <f ca="1">IFERROR(INDEX(Events!$A:$A,MATCH(K17,Events!$I:$I,0)),"")</f>
        <v/>
      </c>
      <c r="L19" s="147"/>
      <c r="M19" s="146" t="str">
        <f ca="1">IFERROR(INDEX(Events!$A:$A,MATCH(M17,Events!$I:$I,0)),"")</f>
        <v/>
      </c>
      <c r="N19" s="147"/>
      <c r="O19" s="146" t="str">
        <f ca="1">IFERROR(INDEX(Events!$A:$A,MATCH(O17,Events!$I:$I,0)),"")</f>
        <v/>
      </c>
      <c r="P19" s="147"/>
      <c r="R19" s="150"/>
    </row>
    <row r="20" spans="1:18" s="53" customFormat="1" ht="10.199999999999999" customHeight="1" x14ac:dyDescent="0.25">
      <c r="A20" s="143"/>
      <c r="C20" s="146" t="str">
        <f ca="1">IFERROR(INDEX(Events!$A:$A,MATCH(C17,Events!$J:$J,0)),"")</f>
        <v/>
      </c>
      <c r="D20" s="147"/>
      <c r="E20" s="146" t="s">
        <v>120</v>
      </c>
      <c r="F20" s="147"/>
      <c r="G20" s="146" t="s">
        <v>120</v>
      </c>
      <c r="H20" s="147"/>
      <c r="I20" s="146" t="s">
        <v>120</v>
      </c>
      <c r="J20" s="147"/>
      <c r="K20" s="146" t="s">
        <v>120</v>
      </c>
      <c r="L20" s="147"/>
      <c r="M20" s="146" t="s">
        <v>120</v>
      </c>
      <c r="N20" s="147"/>
      <c r="O20" s="146" t="str">
        <f ca="1">IFERROR(INDEX(Events!$A:$A,MATCH(O17,Events!$J:$J,0)),"")</f>
        <v/>
      </c>
      <c r="P20" s="147"/>
      <c r="R20" s="150"/>
    </row>
    <row r="21" spans="1:18" s="2" customFormat="1" x14ac:dyDescent="0.25">
      <c r="A21" s="143"/>
      <c r="C21" s="50">
        <f>IF(O17="","",IF(MONTH(O17+1)&lt;&gt;MONTH(O17),"",O17+1))</f>
        <v>45676</v>
      </c>
      <c r="D21" s="52" t="str">
        <f>IFERROR(INDEX(Events!$A:$A,MATCH(C21,Events!$G:$G,0)),"")</f>
        <v/>
      </c>
      <c r="E21" s="50">
        <f>IF(C21="","",IF(MONTH(C21+1)&lt;&gt;MONTH(C21),"",C21+1))</f>
        <v>45677</v>
      </c>
      <c r="F21" s="52" t="str">
        <f>IFERROR(INDEX(Events!$A:$A,MATCH(E21,Events!$G:$G,0)),"")</f>
        <v>ML King Day</v>
      </c>
      <c r="G21" s="50">
        <f>IF(E21="","",IF(MONTH(E21+1)&lt;&gt;MONTH(E21),"",E21+1))</f>
        <v>45678</v>
      </c>
      <c r="H21" s="52" t="str">
        <f>IFERROR(INDEX(Events!$A:$A,MATCH(G21,Events!$G:$G,0)),"")</f>
        <v/>
      </c>
      <c r="I21" s="50">
        <f>IF(G21="","",IF(MONTH(G21+1)&lt;&gt;MONTH(G21),"",G21+1))</f>
        <v>45679</v>
      </c>
      <c r="J21" s="52" t="str">
        <f>IFERROR(INDEX(Events!$A:$A,MATCH(I21,Events!$G:$G,0)),"")</f>
        <v/>
      </c>
      <c r="K21" s="50">
        <f>IF(I21="","",IF(MONTH(I21+1)&lt;&gt;MONTH(I21),"",I21+1))</f>
        <v>45680</v>
      </c>
      <c r="L21" s="52" t="str">
        <f>IFERROR(INDEX(Events!$A:$A,MATCH(K21,Events!$G:$G,0)),"")</f>
        <v/>
      </c>
      <c r="M21" s="50">
        <f>IF(K21="","",IF(MONTH(K21+1)&lt;&gt;MONTH(K21),"",K21+1))</f>
        <v>45681</v>
      </c>
      <c r="N21" s="52" t="str">
        <f>IFERROR(INDEX(Events!$A:$A,MATCH(M21,Events!$G:$G,0)),"")</f>
        <v/>
      </c>
      <c r="O21" s="50">
        <f>IF(M21="","",IF(MONTH(M21+1)&lt;&gt;MONTH(M21),"",M21+1))</f>
        <v>45682</v>
      </c>
      <c r="P21" s="52" t="str">
        <f>IFERROR(INDEX(Events!$A:$A,MATCH(O21,Events!$G:$G,0)),"")</f>
        <v/>
      </c>
      <c r="R21" s="150" t="s">
        <v>127</v>
      </c>
    </row>
    <row r="22" spans="1:18" s="53" customFormat="1" ht="10.199999999999999" customHeight="1" x14ac:dyDescent="0.25">
      <c r="A22" s="143"/>
      <c r="C22" s="146" t="str">
        <f ca="1">IFERROR(INDEX(Events!$A:$A,MATCH(C21,Events!$H:$H,0)),"")</f>
        <v/>
      </c>
      <c r="D22" s="147" t="str">
        <f ca="1">IFERROR(INDEX(Events!#REF!,MATCH(C22,Events!A:A,0)),"")</f>
        <v/>
      </c>
      <c r="E22" s="146" t="str">
        <f ca="1">IFERROR(INDEX(Events!$A:$A,MATCH(E21,Events!$H:$H,0)),"")</f>
        <v/>
      </c>
      <c r="F22" s="147" t="str">
        <f ca="1">IFERROR(INDEX(Events!#REF!,MATCH(E22,Events!C:C,0)),"")</f>
        <v/>
      </c>
      <c r="G22" s="146" t="str">
        <f ca="1">IFERROR(INDEX(Events!$A:$A,MATCH(G21,Events!$H:$H,0)),"")</f>
        <v/>
      </c>
      <c r="H22" s="147" t="str">
        <f ca="1">IFERROR(INDEX(Events!#REF!,MATCH(G22,Events!E:E,0)),"")</f>
        <v/>
      </c>
      <c r="I22" s="146" t="str">
        <f ca="1">IFERROR(INDEX(Events!$A:$A,MATCH(I21,Events!$H:$H,0)),"")</f>
        <v/>
      </c>
      <c r="J22" s="147" t="str">
        <f ca="1">IFERROR(INDEX(Events!A:A,MATCH(I22,Events!G:G,0)),"")</f>
        <v/>
      </c>
      <c r="K22" s="146" t="str">
        <f ca="1">IFERROR(INDEX(Events!$A:$A,MATCH(K21,Events!$H:$H,0)),"")</f>
        <v/>
      </c>
      <c r="L22" s="147" t="str">
        <f ca="1">IFERROR(INDEX(Events!C:C,MATCH(K22,Events!I:I,0)),"")</f>
        <v/>
      </c>
      <c r="M22" s="146" t="str">
        <f ca="1">IFERROR(INDEX(Events!$A:$A,MATCH(M21,Events!$H:$H,0)),"")</f>
        <v/>
      </c>
      <c r="N22" s="147" t="str">
        <f ca="1">IFERROR(INDEX(Events!E:E,MATCH(M22,Events!#REF!,0)),"")</f>
        <v/>
      </c>
      <c r="O22" s="146" t="str">
        <f ca="1">IFERROR(INDEX(Events!$A:$A,MATCH(O21,Events!$H:$H,0)),"")</f>
        <v/>
      </c>
      <c r="P22" s="147" t="str">
        <f ca="1">IFERROR(INDEX(Events!G:G,MATCH(O22,Events!K:K,0)),"")</f>
        <v/>
      </c>
      <c r="R22" s="150"/>
    </row>
    <row r="23" spans="1:18" s="53" customFormat="1" ht="10.199999999999999" customHeight="1" x14ac:dyDescent="0.25">
      <c r="A23" s="143"/>
      <c r="C23" s="146" t="str">
        <f ca="1">IFERROR(INDEX(Events!$A:$A,MATCH(C21,Events!$I:$I,0)),"")</f>
        <v/>
      </c>
      <c r="D23" s="147"/>
      <c r="E23" s="209" t="s">
        <v>121</v>
      </c>
      <c r="F23" s="173"/>
      <c r="G23" s="146" t="str">
        <f ca="1">IFERROR(INDEX(Events!$A:$A,MATCH(G21,Events!$I:$I,0)),"")</f>
        <v/>
      </c>
      <c r="H23" s="147"/>
      <c r="I23" s="146" t="str">
        <f ca="1">IFERROR(INDEX(Events!$A:$A,MATCH(I21,Events!$I:$I,0)),"")</f>
        <v/>
      </c>
      <c r="J23" s="147"/>
      <c r="K23" s="146" t="str">
        <f ca="1">IFERROR(INDEX(Events!$A:$A,MATCH(K21,Events!$I:$I,0)),"")</f>
        <v/>
      </c>
      <c r="L23" s="147"/>
      <c r="M23" s="146" t="str">
        <f ca="1">IFERROR(INDEX(Events!$A:$A,MATCH(M21,Events!$I:$I,0)),"")</f>
        <v/>
      </c>
      <c r="N23" s="147"/>
      <c r="O23" s="146" t="str">
        <f ca="1">IFERROR(INDEX(Events!$A:$A,MATCH(O21,Events!$I:$I,0)),"")</f>
        <v/>
      </c>
      <c r="P23" s="147"/>
      <c r="R23" s="150"/>
    </row>
    <row r="24" spans="1:18" s="53" customFormat="1" ht="10.199999999999999" customHeight="1" x14ac:dyDescent="0.25">
      <c r="A24" s="143"/>
      <c r="C24" s="146" t="str">
        <f ca="1">IFERROR(INDEX(Events!$A:$A,MATCH(C21,Events!$J:$J,0)),"")</f>
        <v/>
      </c>
      <c r="D24" s="147"/>
      <c r="E24" s="146" t="s">
        <v>120</v>
      </c>
      <c r="F24" s="147"/>
      <c r="G24" s="146" t="s">
        <v>120</v>
      </c>
      <c r="H24" s="147"/>
      <c r="I24" s="146" t="s">
        <v>120</v>
      </c>
      <c r="J24" s="147"/>
      <c r="K24" s="146" t="s">
        <v>120</v>
      </c>
      <c r="L24" s="147"/>
      <c r="M24" s="146" t="s">
        <v>120</v>
      </c>
      <c r="N24" s="147"/>
      <c r="O24" s="146" t="str">
        <f ca="1">IFERROR(INDEX(Events!$A:$A,MATCH(O21,Events!$J:$J,0)),"")</f>
        <v/>
      </c>
      <c r="P24" s="147"/>
      <c r="R24" s="150"/>
    </row>
    <row r="25" spans="1:18" s="2" customFormat="1" x14ac:dyDescent="0.25">
      <c r="A25" s="143"/>
      <c r="C25" s="50">
        <f>IF(O21="","",IF(MONTH(O21+1)&lt;&gt;MONTH(O21),"",O21+1))</f>
        <v>45683</v>
      </c>
      <c r="D25" s="52" t="str">
        <f>IFERROR(INDEX(Events!$A:$A,MATCH(C25,Events!$G:$G,0)),"")</f>
        <v/>
      </c>
      <c r="E25" s="50">
        <f>IF(C25="","",IF(MONTH(C25+1)&lt;&gt;MONTH(C25),"",C25+1))</f>
        <v>45684</v>
      </c>
      <c r="F25" s="52" t="str">
        <f>IFERROR(INDEX(Events!$A:$A,MATCH(E25,Events!$G:$G,0)),"")</f>
        <v/>
      </c>
      <c r="G25" s="50">
        <f>IF(E25="","",IF(MONTH(E25+1)&lt;&gt;MONTH(E25),"",E25+1))</f>
        <v>45685</v>
      </c>
      <c r="H25" s="52" t="str">
        <f>IFERROR(INDEX(Events!$A:$A,MATCH(G25,Events!$G:$G,0)),"")</f>
        <v/>
      </c>
      <c r="I25" s="50">
        <f>IF(G25="","",IF(MONTH(G25+1)&lt;&gt;MONTH(G25),"",G25+1))</f>
        <v>45686</v>
      </c>
      <c r="J25" s="103" t="str">
        <f>IFERROR(INDEX(Events!$A:$A,MATCH(I25,Events!$G:$G,0)),"")</f>
        <v>Chinese New  Year</v>
      </c>
      <c r="K25" s="50">
        <f>IF(I25="","",IF(MONTH(I25+1)&lt;&gt;MONTH(I25),"",I25+1))</f>
        <v>45687</v>
      </c>
      <c r="L25" s="99" t="s">
        <v>148</v>
      </c>
      <c r="M25" s="50">
        <f>IF(K25="","",IF(MONTH(K25+1)&lt;&gt;MONTH(K25),"",K25+1))</f>
        <v>45688</v>
      </c>
      <c r="N25" s="99" t="s">
        <v>149</v>
      </c>
      <c r="O25" s="50" t="str">
        <f>IF(M25="","",IF(MONTH(M25+1)&lt;&gt;MONTH(M25),"",M25+1))</f>
        <v/>
      </c>
      <c r="P25" s="52" t="str">
        <f>IFERROR(INDEX(Events!$A:$A,MATCH(O25,Events!$G:$G,0)),"")</f>
        <v/>
      </c>
      <c r="R25" s="150" t="s">
        <v>128</v>
      </c>
    </row>
    <row r="26" spans="1:18" s="53" customFormat="1" ht="10.199999999999999" customHeight="1" x14ac:dyDescent="0.25">
      <c r="A26" s="143"/>
      <c r="C26" s="146" t="str">
        <f ca="1">IFERROR(INDEX(Events!$A:$A,MATCH(C25,Events!$H:$H,0)),"")</f>
        <v/>
      </c>
      <c r="D26" s="147" t="str">
        <f ca="1">IFERROR(INDEX(Events!#REF!,MATCH(C26,Events!A:A,0)),"")</f>
        <v/>
      </c>
      <c r="E26" s="146" t="str">
        <f ca="1">IFERROR(INDEX(Events!$A:$A,MATCH(E25,Events!$H:$H,0)),"")</f>
        <v/>
      </c>
      <c r="F26" s="147" t="str">
        <f ca="1">IFERROR(INDEX(Events!#REF!,MATCH(E26,Events!C:C,0)),"")</f>
        <v/>
      </c>
      <c r="G26" s="146" t="str">
        <f ca="1">IFERROR(INDEX(Events!$A:$A,MATCH(G25,Events!$H:$H,0)),"")</f>
        <v/>
      </c>
      <c r="H26" s="147" t="str">
        <f ca="1">IFERROR(INDEX(Events!#REF!,MATCH(G26,Events!E:E,0)),"")</f>
        <v/>
      </c>
      <c r="I26" s="217" t="s">
        <v>152</v>
      </c>
      <c r="J26" s="218" t="str">
        <f>IFERROR(INDEX(Events!A:A,MATCH(I26,Events!G:G,0)),"")</f>
        <v/>
      </c>
      <c r="K26" s="146" t="str">
        <f ca="1">IFERROR(INDEX(Events!$A:$A,MATCH(K25,Events!$H:$H,0)),"")</f>
        <v/>
      </c>
      <c r="L26" s="147" t="str">
        <f ca="1">IFERROR(INDEX(Events!C:C,MATCH(K26,Events!I:I,0)),"")</f>
        <v/>
      </c>
      <c r="M26" s="146" t="str">
        <f ca="1">IFERROR(INDEX(Events!$A:$A,MATCH(M25,Events!$H:$H,0)),"")</f>
        <v/>
      </c>
      <c r="N26" s="147" t="str">
        <f ca="1">IFERROR(INDEX(Events!E:E,MATCH(M26,Events!#REF!,0)),"")</f>
        <v/>
      </c>
      <c r="O26" s="146" t="str">
        <f ca="1">IFERROR(INDEX(Events!$A:$A,MATCH(O25,Events!$H:$H,0)),"")</f>
        <v/>
      </c>
      <c r="P26" s="147" t="str">
        <f ca="1">IFERROR(INDEX(Events!G:G,MATCH(O26,Events!K:K,0)),"")</f>
        <v/>
      </c>
      <c r="R26" s="150"/>
    </row>
    <row r="27" spans="1:18" s="53" customFormat="1" ht="10.199999999999999" customHeight="1" x14ac:dyDescent="0.25">
      <c r="A27" s="143"/>
      <c r="C27" s="146" t="str">
        <f ca="1">IFERROR(INDEX(Events!$A:$A,MATCH(C25,Events!$I:$I,0)),"")</f>
        <v/>
      </c>
      <c r="D27" s="147"/>
      <c r="E27" s="209" t="s">
        <v>121</v>
      </c>
      <c r="F27" s="173"/>
      <c r="G27" s="146" t="str">
        <f ca="1">IFERROR(INDEX(Events!$A:$A,MATCH(G25,Events!$I:$I,0)),"")</f>
        <v/>
      </c>
      <c r="H27" s="147"/>
      <c r="I27" s="146" t="str">
        <f ca="1">IFERROR(INDEX(Events!$A:$A,MATCH(I25,Events!$I:$I,0)),"")</f>
        <v/>
      </c>
      <c r="J27" s="147"/>
      <c r="K27" s="209" t="s">
        <v>121</v>
      </c>
      <c r="L27" s="173"/>
      <c r="M27" s="209" t="s">
        <v>121</v>
      </c>
      <c r="N27" s="173"/>
      <c r="O27" s="146" t="str">
        <f ca="1">IFERROR(INDEX(Events!$A:$A,MATCH(O25,Events!$I:$I,0)),"")</f>
        <v/>
      </c>
      <c r="P27" s="147"/>
      <c r="R27" s="150"/>
    </row>
    <row r="28" spans="1:18" s="53" customFormat="1" ht="10.199999999999999" customHeight="1" x14ac:dyDescent="0.25">
      <c r="A28" s="143"/>
      <c r="C28" s="211" t="str">
        <f ca="1">IFERROR(INDEX(Events!$A:$A,MATCH(C25,Events!$J:$J,0)),"")</f>
        <v/>
      </c>
      <c r="D28" s="177"/>
      <c r="E28" s="211" t="s">
        <v>120</v>
      </c>
      <c r="F28" s="177"/>
      <c r="G28" s="211" t="s">
        <v>120</v>
      </c>
      <c r="H28" s="177"/>
      <c r="I28" s="211" t="s">
        <v>120</v>
      </c>
      <c r="J28" s="177"/>
      <c r="K28" s="211" t="s">
        <v>120</v>
      </c>
      <c r="L28" s="177"/>
      <c r="M28" s="211" t="s">
        <v>120</v>
      </c>
      <c r="N28" s="177"/>
      <c r="O28" s="180" t="str">
        <f ca="1">IFERROR(INDEX(Events!$A:$A,MATCH(O25,Events!$J:$J,0)),"")</f>
        <v/>
      </c>
      <c r="P28" s="181"/>
      <c r="R28" s="150"/>
    </row>
    <row r="29" spans="1:18" ht="0.6" customHeight="1" x14ac:dyDescent="0.25">
      <c r="C29" s="93" t="str">
        <f>IF(O25="","",IF(MONTH(O25+1)&lt;&gt;MONTH(O25),"",O25+1))</f>
        <v/>
      </c>
      <c r="D29" s="94" t="str">
        <f>IFERROR(INDEX(Events!$A:$A,MATCH(C29,Events!$G:$G,0)),"")</f>
        <v/>
      </c>
      <c r="E29" s="93" t="str">
        <f>IF(C29="","",IF(MONTH(C29+1)&lt;&gt;MONTH(C29),"",C29+1))</f>
        <v/>
      </c>
      <c r="F29" s="94" t="str">
        <f>IFERROR(INDEX(Events!$A:$A,MATCH(E29,Events!$G:$G,0)),"")</f>
        <v/>
      </c>
    </row>
    <row r="30" spans="1:18" s="54" customFormat="1" ht="0.6" customHeight="1" x14ac:dyDescent="0.2">
      <c r="C30" s="165" t="str">
        <f ca="1">IFERROR(INDEX(Events!$A:$A,MATCH(C29,Events!$H:$H,0)),"")</f>
        <v/>
      </c>
      <c r="D30" s="165" t="str">
        <f ca="1">IFERROR(INDEX(Events!#REF!,MATCH(C30,Events!A:A,0)),"")</f>
        <v/>
      </c>
      <c r="E30" s="165" t="str">
        <f ca="1">IFERROR(INDEX(Events!$A:$A,MATCH(E29,Events!$H:$H,0)),"")</f>
        <v/>
      </c>
      <c r="F30" s="165" t="str">
        <f ca="1">IFERROR(INDEX(Events!#REF!,MATCH(E30,Events!C:C,0)),"")</f>
        <v/>
      </c>
      <c r="J30" s="55"/>
      <c r="K30" s="55"/>
      <c r="L30" s="55"/>
      <c r="M30" s="55"/>
      <c r="N30" s="55"/>
      <c r="O30" s="55"/>
      <c r="P30" s="55"/>
      <c r="R30" s="101"/>
    </row>
    <row r="31" spans="1:18" s="54" customFormat="1" ht="0.6" customHeight="1" x14ac:dyDescent="0.2">
      <c r="C31" s="165" t="str">
        <f ca="1">IFERROR(INDEX(Events!$A:$A,MATCH(C29,Events!$I:$I,0)),"")</f>
        <v/>
      </c>
      <c r="D31" s="165"/>
      <c r="E31" s="165" t="str">
        <f ca="1">IFERROR(INDEX(Events!$A:$A,MATCH(E29,Events!$I:$I,0)),"")</f>
        <v/>
      </c>
      <c r="F31" s="165"/>
      <c r="I31" s="210"/>
      <c r="J31" s="210"/>
      <c r="K31" s="210"/>
      <c r="L31" s="210"/>
      <c r="M31" s="210"/>
      <c r="N31" s="210"/>
      <c r="O31" s="210"/>
      <c r="P31" s="210"/>
      <c r="R31" s="101"/>
    </row>
    <row r="32" spans="1:18" s="54" customFormat="1" ht="0.6" customHeight="1" x14ac:dyDescent="0.2">
      <c r="C32" s="165" t="str">
        <f ca="1">IFERROR(INDEX(Events!$A:$A,MATCH(C29,Events!$J:$J,0)),"")</f>
        <v/>
      </c>
      <c r="D32" s="165"/>
      <c r="E32" s="165"/>
      <c r="F32" s="165"/>
      <c r="I32" s="210"/>
      <c r="J32" s="210"/>
      <c r="K32" s="210"/>
      <c r="L32" s="210"/>
      <c r="M32" s="210"/>
      <c r="N32" s="210"/>
      <c r="O32" s="210"/>
      <c r="P32" s="210"/>
      <c r="R32" s="101"/>
    </row>
    <row r="33" spans="1:18" ht="13.2" customHeight="1" x14ac:dyDescent="0.55000000000000004">
      <c r="I33" s="210"/>
      <c r="J33" s="210"/>
      <c r="K33" s="210"/>
      <c r="L33" s="210"/>
      <c r="M33" s="210"/>
      <c r="N33" s="210"/>
      <c r="O33" s="210"/>
      <c r="P33" s="210"/>
    </row>
    <row r="34" spans="1:18" s="1" customFormat="1" ht="10.199999999999999" hidden="1" x14ac:dyDescent="0.2">
      <c r="C34" s="1" t="s">
        <v>1</v>
      </c>
      <c r="D34" s="6">
        <f>DATE(YEAR('Q1'!$D$7),MONTH('Q1'!$D$7)+1,1)</f>
        <v>45689</v>
      </c>
      <c r="R34" s="101"/>
    </row>
    <row r="35" spans="1:18" s="56" customFormat="1" ht="18" customHeight="1" x14ac:dyDescent="0.25">
      <c r="A35" s="143">
        <f>D34</f>
        <v>45689</v>
      </c>
      <c r="C35" s="144" t="s">
        <v>109</v>
      </c>
      <c r="D35" s="145"/>
      <c r="E35" s="144" t="s">
        <v>110</v>
      </c>
      <c r="F35" s="145"/>
      <c r="G35" s="144" t="s">
        <v>111</v>
      </c>
      <c r="H35" s="145"/>
      <c r="I35" s="144" t="s">
        <v>112</v>
      </c>
      <c r="J35" s="145"/>
      <c r="K35" s="144" t="s">
        <v>113</v>
      </c>
      <c r="L35" s="145"/>
      <c r="M35" s="144" t="s">
        <v>114</v>
      </c>
      <c r="N35" s="145"/>
      <c r="O35" s="144" t="s">
        <v>115</v>
      </c>
      <c r="P35" s="145"/>
      <c r="R35" s="96" t="s">
        <v>132</v>
      </c>
    </row>
    <row r="36" spans="1:18" s="1" customFormat="1" ht="13.2" customHeight="1" x14ac:dyDescent="0.2">
      <c r="A36" s="143"/>
      <c r="C36" s="50" t="str">
        <f>IF(WEEKDAY($D$34,1)=startday,$D$34,"")</f>
        <v/>
      </c>
      <c r="D36" s="52" t="str">
        <f>IFERROR(INDEX(Events!$A:$A,MATCH(C36,Events!$G:$G,0)),"")</f>
        <v/>
      </c>
      <c r="E36" s="50" t="str">
        <f>IF(C36="",IF(WEEKDAY($D$34,1)=MOD(startday,7)+1,$D$34,""),C36+1)</f>
        <v/>
      </c>
      <c r="F36" s="52" t="str">
        <f>IFERROR(INDEX(Events!$A:$A,MATCH(E36,Events!$G:$G,0)),"")</f>
        <v/>
      </c>
      <c r="G36" s="50" t="str">
        <f>IF(E36="",IF(WEEKDAY($D$34,1)=MOD(startday+1,7)+1,$D$34,""),E36+1)</f>
        <v/>
      </c>
      <c r="H36" s="52" t="str">
        <f>IFERROR(INDEX(Events!$A:$A,MATCH(G36,Events!$G:$G,0)),"")</f>
        <v/>
      </c>
      <c r="I36" s="50" t="str">
        <f>IF(G36="",IF(WEEKDAY($D$34,1)=MOD(startday+2,7)+1,$D$34,""),G36+1)</f>
        <v/>
      </c>
      <c r="J36" s="52" t="str">
        <f>IFERROR(INDEX(Events!$A:$A,MATCH(I36,Events!$G:$G,0)),"")</f>
        <v/>
      </c>
      <c r="K36" s="50" t="str">
        <f>IF(I36="",IF(WEEKDAY($D$34,1)=MOD(startday+3,7)+1,$D$34,""),I36+1)</f>
        <v/>
      </c>
      <c r="L36" s="52" t="str">
        <f>IFERROR(INDEX(Events!$A:$A,MATCH(K36,Events!$G:$G,0)),"")</f>
        <v/>
      </c>
      <c r="M36" s="50" t="str">
        <f>IF(K36="",IF(WEEKDAY($D$34,1)=MOD(startday+4,7)+1,$D$34,""),K36+1)</f>
        <v/>
      </c>
      <c r="N36" s="52" t="str">
        <f>IFERROR(INDEX(Events!$A:$A,MATCH(M36,Events!$G:$G,0)),"")</f>
        <v/>
      </c>
      <c r="O36" s="50">
        <f>IF(M36="",IF(WEEKDAY($D$34,1)=MOD(startday+5,7)+1,$D$34,""),M36+1)</f>
        <v>45689</v>
      </c>
      <c r="P36" s="52" t="str">
        <f>IFERROR(INDEX(Events!$A:$A,MATCH(O36,Events!$G:$G,0)),"")</f>
        <v/>
      </c>
      <c r="R36" s="183" t="s">
        <v>129</v>
      </c>
    </row>
    <row r="37" spans="1:18" s="54" customFormat="1" ht="10.199999999999999" customHeight="1" x14ac:dyDescent="0.2">
      <c r="A37" s="143"/>
      <c r="C37" s="146" t="str">
        <f ca="1">IFERROR(INDEX(Events!$A:$A,MATCH(C36,Events!$H:$H,0)),"")</f>
        <v/>
      </c>
      <c r="D37" s="147"/>
      <c r="E37" s="146" t="str">
        <f ca="1">IFERROR(INDEX(Events!$A:$A,MATCH(E36,Events!$H:$H,0)),"")</f>
        <v/>
      </c>
      <c r="F37" s="147"/>
      <c r="G37" s="146" t="str">
        <f ca="1">IFERROR(INDEX(Events!$A:$A,MATCH(G36,Events!$H:$H,0)),"")</f>
        <v/>
      </c>
      <c r="H37" s="147"/>
      <c r="I37" s="146" t="str">
        <f ca="1">IFERROR(INDEX(Events!$A:$A,MATCH(I36,Events!$H:$H,0)),"")</f>
        <v/>
      </c>
      <c r="J37" s="147"/>
      <c r="K37" s="146" t="str">
        <f ca="1">IFERROR(INDEX(Events!$A:$A,MATCH(K36,Events!$H:$H,0)),"")</f>
        <v/>
      </c>
      <c r="L37" s="147"/>
      <c r="M37" s="146" t="str">
        <f ca="1">IFERROR(INDEX(Events!$A:$A,MATCH(M36,Events!$H:$H,0)),"")</f>
        <v/>
      </c>
      <c r="N37" s="147"/>
      <c r="O37" s="146" t="str">
        <f ca="1">IFERROR(INDEX(Events!$A:$A,MATCH(O36,Events!$H:$H,0)),"")</f>
        <v/>
      </c>
      <c r="P37" s="147"/>
      <c r="R37" s="184"/>
    </row>
    <row r="38" spans="1:18" s="54" customFormat="1" ht="10.199999999999999" customHeight="1" x14ac:dyDescent="0.2">
      <c r="A38" s="143"/>
      <c r="C38" s="146" t="str">
        <f ca="1">IFERROR(INDEX(Events!$A:$A,MATCH(C36,Events!$I:$I,0)),"")</f>
        <v/>
      </c>
      <c r="D38" s="147"/>
      <c r="E38" s="146" t="str">
        <f ca="1">IFERROR(INDEX(Events!$A:$A,MATCH(E36,Events!$I:$I,0)),"")</f>
        <v/>
      </c>
      <c r="F38" s="147"/>
      <c r="G38" s="146" t="str">
        <f ca="1">IFERROR(INDEX(Events!$A:$A,MATCH(G36,Events!$I:$I,0)),"")</f>
        <v/>
      </c>
      <c r="H38" s="147"/>
      <c r="I38" s="146" t="str">
        <f ca="1">IFERROR(INDEX(Events!$A:$A,MATCH(I36,Events!$I:$I,0)),"")</f>
        <v/>
      </c>
      <c r="J38" s="147"/>
      <c r="K38" s="146" t="str">
        <f ca="1">IFERROR(INDEX(Events!$A:$A,MATCH(K36,Events!$I:$I,0)),"")</f>
        <v/>
      </c>
      <c r="L38" s="147"/>
      <c r="M38" s="146" t="str">
        <f ca="1">IFERROR(INDEX(Events!$A:$A,MATCH(M36,Events!$I:$I,0)),"")</f>
        <v/>
      </c>
      <c r="N38" s="147"/>
      <c r="O38" s="146" t="str">
        <f ca="1">IFERROR(INDEX(Events!$A:$A,MATCH(O36,Events!$I:$I,0)),"")</f>
        <v/>
      </c>
      <c r="P38" s="147"/>
      <c r="R38" s="184"/>
    </row>
    <row r="39" spans="1:18" s="54" customFormat="1" ht="10.199999999999999" customHeight="1" x14ac:dyDescent="0.2">
      <c r="A39" s="143"/>
      <c r="C39" s="180" t="str">
        <f ca="1">IFERROR(INDEX(Events!$A:$A,MATCH(C36,Events!$J:$J,0)),"")</f>
        <v/>
      </c>
      <c r="D39" s="181"/>
      <c r="E39" s="180" t="str">
        <f ca="1">IFERROR(INDEX(Events!$A:$A,MATCH(E36,Events!$J:$J,0)),"")</f>
        <v/>
      </c>
      <c r="F39" s="181"/>
      <c r="G39" s="180" t="str">
        <f ca="1">IFERROR(INDEX(Events!$A:$A,MATCH(G36,Events!$J:$J,0)),"")</f>
        <v/>
      </c>
      <c r="H39" s="181"/>
      <c r="I39" s="180" t="str">
        <f ca="1">IFERROR(INDEX(Events!$A:$A,MATCH(I36,Events!$J:$J,0)),"")</f>
        <v/>
      </c>
      <c r="J39" s="181"/>
      <c r="K39" s="180" t="str">
        <f ca="1">IFERROR(INDEX(Events!$A:$A,MATCH(K36,Events!$J:$J,0)),"")</f>
        <v/>
      </c>
      <c r="L39" s="181"/>
      <c r="M39" s="180" t="str">
        <f ca="1">IFERROR(INDEX(Events!$A:$A,MATCH(M36,Events!$J:$J,0)),"")</f>
        <v/>
      </c>
      <c r="N39" s="181"/>
      <c r="O39" s="211" t="s">
        <v>120</v>
      </c>
      <c r="P39" s="177"/>
      <c r="R39" s="184"/>
    </row>
    <row r="40" spans="1:18" s="1" customFormat="1" ht="13.2" customHeight="1" x14ac:dyDescent="0.2">
      <c r="A40" s="143"/>
      <c r="C40" s="50">
        <f>IF(O36="","",IF(MONTH(O36+1)&lt;&gt;MONTH(O36),"",O36+1))</f>
        <v>45690</v>
      </c>
      <c r="D40" s="52" t="str">
        <f>IFERROR(INDEX(Events!$A:$A,MATCH(C40,Events!$G:$G,0)),"")</f>
        <v>Groundhog Day</v>
      </c>
      <c r="E40" s="107">
        <f>IF(C40="","",IF(MONTH(C40+1)&lt;&gt;MONTH(C40),"",C40+1))</f>
        <v>45691</v>
      </c>
      <c r="F40" s="108" t="s">
        <v>141</v>
      </c>
      <c r="G40" s="50">
        <f>IF(E40="","",IF(MONTH(E40+1)&lt;&gt;MONTH(E40),"",E40+1))</f>
        <v>45692</v>
      </c>
      <c r="H40" s="97" t="s">
        <v>142</v>
      </c>
      <c r="I40" s="50">
        <f>IF(G40="","",IF(MONTH(G40+1)&lt;&gt;MONTH(G40),"",G40+1))</f>
        <v>45693</v>
      </c>
      <c r="J40" s="97" t="s">
        <v>143</v>
      </c>
      <c r="K40" s="50">
        <f>IF(I40="","",IF(MONTH(I40+1)&lt;&gt;MONTH(I40),"",I40+1))</f>
        <v>45694</v>
      </c>
      <c r="L40" s="97" t="s">
        <v>144</v>
      </c>
      <c r="M40" s="50">
        <f>IF(K40="","",IF(MONTH(K40+1)&lt;&gt;MONTH(K40),"",K40+1))</f>
        <v>45695</v>
      </c>
      <c r="N40" s="97" t="s">
        <v>145</v>
      </c>
      <c r="O40" s="50">
        <f>IF(M40="","",IF(MONTH(M40+1)&lt;&gt;MONTH(M40),"",M40+1))</f>
        <v>45696</v>
      </c>
      <c r="P40" s="52" t="str">
        <f>IFERROR(INDEX(Events!$A:$A,MATCH(O40,Events!$G:$G,0)),"")</f>
        <v/>
      </c>
      <c r="R40" s="150" t="s">
        <v>130</v>
      </c>
    </row>
    <row r="41" spans="1:18" s="54" customFormat="1" ht="10.199999999999999" customHeight="1" x14ac:dyDescent="0.2">
      <c r="A41" s="143"/>
      <c r="C41" s="146" t="str">
        <f ca="1">IFERROR(INDEX(Events!$A:$A,MATCH(C40,Events!$H:$H,0)),"")</f>
        <v/>
      </c>
      <c r="D41" s="147"/>
      <c r="E41" s="191" t="s">
        <v>164</v>
      </c>
      <c r="F41" s="192"/>
      <c r="G41" s="187" t="s">
        <v>163</v>
      </c>
      <c r="H41" s="188" t="str">
        <f>IFERROR(INDEX(Events!#REF!,MATCH(G41,Events!E:E,0)),"")</f>
        <v/>
      </c>
      <c r="I41" s="146" t="str">
        <f ca="1">IFERROR(INDEX(Events!$A:$A,MATCH(I40,Events!$H:$H,0)),"")</f>
        <v/>
      </c>
      <c r="J41" s="147"/>
      <c r="K41" s="146" t="str">
        <f ca="1">IFERROR(INDEX(Events!$A:$A,MATCH(K40,Events!$H:$H,0)),"")</f>
        <v/>
      </c>
      <c r="L41" s="147"/>
      <c r="M41" s="193" t="s">
        <v>119</v>
      </c>
      <c r="N41" s="167" t="str">
        <f>IFERROR(INDEX(Events!E:E,MATCH(M41,Events!#REF!,0)),"")</f>
        <v/>
      </c>
      <c r="O41" s="146" t="str">
        <f ca="1">IFERROR(INDEX(Events!$A:$A,MATCH(O40,Events!$H:$H,0)),"")</f>
        <v/>
      </c>
      <c r="P41" s="147"/>
      <c r="R41" s="150"/>
    </row>
    <row r="42" spans="1:18" s="54" customFormat="1" ht="10.199999999999999" customHeight="1" x14ac:dyDescent="0.2">
      <c r="A42" s="143"/>
      <c r="C42" s="146" t="str">
        <f ca="1">IFERROR(INDEX(Events!$A:$A,MATCH(C40,Events!$I:$I,0)),"")</f>
        <v/>
      </c>
      <c r="D42" s="147"/>
      <c r="E42" s="191" t="s">
        <v>121</v>
      </c>
      <c r="F42" s="192"/>
      <c r="G42" s="146" t="str">
        <f ca="1">IFERROR(INDEX(Events!$A:$A,MATCH(G40,Events!$I:$I,0)),"")</f>
        <v/>
      </c>
      <c r="H42" s="147"/>
      <c r="I42" s="146" t="str">
        <f ca="1">IFERROR(INDEX(Events!$A:$A,MATCH(I40,Events!$I:$I,0)),"")</f>
        <v/>
      </c>
      <c r="J42" s="147"/>
      <c r="K42" s="146" t="str">
        <f ca="1">IFERROR(INDEX(Events!$A:$A,MATCH(K40,Events!$I:$I,0)),"")</f>
        <v/>
      </c>
      <c r="L42" s="147"/>
      <c r="M42" s="146" t="str">
        <f ca="1">IFERROR(INDEX(Events!$A:$A,MATCH(M40,Events!$I:$I,0)),"")</f>
        <v/>
      </c>
      <c r="N42" s="147"/>
      <c r="O42" s="146" t="str">
        <f ca="1">IFERROR(INDEX(Events!$A:$A,MATCH(O40,Events!$I:$I,0)),"")</f>
        <v/>
      </c>
      <c r="P42" s="147"/>
      <c r="R42" s="150"/>
    </row>
    <row r="43" spans="1:18" s="54" customFormat="1" ht="10.199999999999999" customHeight="1" x14ac:dyDescent="0.2">
      <c r="A43" s="143"/>
      <c r="C43" s="180" t="str">
        <f ca="1">IFERROR(INDEX(Events!$A:$A,MATCH(C40,Events!$J:$J,0)),"")</f>
        <v/>
      </c>
      <c r="D43" s="181"/>
      <c r="E43" s="212" t="s">
        <v>120</v>
      </c>
      <c r="F43" s="213"/>
      <c r="G43" s="180" t="s">
        <v>120</v>
      </c>
      <c r="H43" s="181"/>
      <c r="I43" s="180" t="s">
        <v>120</v>
      </c>
      <c r="J43" s="181"/>
      <c r="K43" s="180" t="s">
        <v>120</v>
      </c>
      <c r="L43" s="181"/>
      <c r="M43" s="180" t="s">
        <v>120</v>
      </c>
      <c r="N43" s="181"/>
      <c r="O43" s="180" t="str">
        <f ca="1">IFERROR(INDEX(Events!$A:$A,MATCH(O40,Events!$J:$J,0)),"")</f>
        <v/>
      </c>
      <c r="P43" s="181"/>
      <c r="R43" s="150"/>
    </row>
    <row r="44" spans="1:18" s="1" customFormat="1" ht="13.2" customHeight="1" x14ac:dyDescent="0.2">
      <c r="A44" s="143"/>
      <c r="C44" s="50">
        <f>IF(O40="","",IF(MONTH(O40+1)&lt;&gt;MONTH(O40),"",O40+1))</f>
        <v>45697</v>
      </c>
      <c r="D44" s="52" t="str">
        <f>IFERROR(INDEX(Events!$A:$A,MATCH(C44,Events!$G:$G,0)),"")</f>
        <v/>
      </c>
      <c r="E44" s="50">
        <f>IF(C44="","",IF(MONTH(C44+1)&lt;&gt;MONTH(C44),"",C44+1))</f>
        <v>45698</v>
      </c>
      <c r="F44" s="97" t="s">
        <v>146</v>
      </c>
      <c r="G44" s="102">
        <f>IF(E44="","",IF(MONTH(E44+1)&lt;&gt;MONTH(E44),"",E44+1))</f>
        <v>45699</v>
      </c>
      <c r="H44" s="97" t="s">
        <v>147</v>
      </c>
      <c r="I44" s="102">
        <f>IF(G44="","",IF(MONTH(G44+1)&lt;&gt;MONTH(G44),"",G44+1))</f>
        <v>45700</v>
      </c>
      <c r="J44" s="97" t="s">
        <v>151</v>
      </c>
      <c r="K44" s="102">
        <f>IF(I44="","",IF(MONTH(I44+1)&lt;&gt;MONTH(I44),"",I44+1))</f>
        <v>45701</v>
      </c>
      <c r="L44" s="97" t="s">
        <v>153</v>
      </c>
      <c r="M44" s="102">
        <f>IF(K44="","",IF(MONTH(K44+1)&lt;&gt;MONTH(K44),"",K44+1))</f>
        <v>45702</v>
      </c>
      <c r="N44" s="97" t="s">
        <v>154</v>
      </c>
      <c r="O44" s="50">
        <f>IF(M44="","",IF(MONTH(M44+1)&lt;&gt;MONTH(M44),"",M44+1))</f>
        <v>45703</v>
      </c>
      <c r="P44" s="52" t="str">
        <f>IFERROR(INDEX(Events!$A:$A,MATCH(O44,Events!$G:$G,0)),"")</f>
        <v/>
      </c>
      <c r="R44" s="150" t="s">
        <v>131</v>
      </c>
    </row>
    <row r="45" spans="1:18" s="54" customFormat="1" ht="10.199999999999999" customHeight="1" x14ac:dyDescent="0.2">
      <c r="A45" s="143"/>
      <c r="C45" s="146" t="str">
        <f ca="1">IFERROR(INDEX(Events!$A:$A,MATCH(C44,Events!$H:$H,0)),"")</f>
        <v/>
      </c>
      <c r="D45" s="147"/>
      <c r="E45" s="146" t="str">
        <f ca="1">IFERROR(INDEX(Events!$A:$A,MATCH(E44,Events!$H:$H,0)),"")</f>
        <v/>
      </c>
      <c r="F45" s="147"/>
      <c r="G45" s="146" t="str">
        <f ca="1">IFERROR(INDEX(Events!$A:$A,MATCH(G44,Events!$H:$H,0)),"")</f>
        <v/>
      </c>
      <c r="H45" s="147"/>
      <c r="I45" s="196" t="s">
        <v>162</v>
      </c>
      <c r="J45" s="197" t="str">
        <f>IFERROR(INDEX(Events!A:A,MATCH(I45,Events!#REF!,0)),"")</f>
        <v/>
      </c>
      <c r="K45" s="146" t="str">
        <f ca="1">IFERROR(INDEX(Events!$A:$A,MATCH(K44,Events!$H:$H,0)),"")</f>
        <v/>
      </c>
      <c r="L45" s="147"/>
      <c r="M45" s="146" t="str">
        <f ca="1">IFERROR(INDEX(Events!$A:$A,MATCH(M44,Events!$H:$H,0)),"")</f>
        <v/>
      </c>
      <c r="N45" s="147"/>
      <c r="O45" s="146" t="str">
        <f ca="1">IFERROR(INDEX(Events!$A:$A,MATCH(O44,Events!$H:$H,0)),"")</f>
        <v/>
      </c>
      <c r="P45" s="147"/>
      <c r="R45" s="150"/>
    </row>
    <row r="46" spans="1:18" s="54" customFormat="1" ht="10.199999999999999" customHeight="1" x14ac:dyDescent="0.2">
      <c r="A46" s="143"/>
      <c r="C46" s="146" t="str">
        <f ca="1">IFERROR(INDEX(Events!$A:$A,MATCH(C44,Events!$I:$I,0)),"")</f>
        <v/>
      </c>
      <c r="D46" s="147"/>
      <c r="E46" s="209" t="s">
        <v>121</v>
      </c>
      <c r="F46" s="173"/>
      <c r="G46" s="146" t="str">
        <f ca="1">IFERROR(INDEX(Events!$A:$A,MATCH(G44,Events!$I:$I,0)),"")</f>
        <v/>
      </c>
      <c r="H46" s="147"/>
      <c r="I46" s="146" t="str">
        <f ca="1">IFERROR(INDEX(Events!$A:$A,MATCH(I44,Events!$I:$I,0)),"")</f>
        <v/>
      </c>
      <c r="J46" s="147"/>
      <c r="K46" s="146" t="str">
        <f ca="1">IFERROR(INDEX(Events!$A:$A,MATCH(K44,Events!$I:$I,0)),"")</f>
        <v/>
      </c>
      <c r="L46" s="147"/>
      <c r="M46" s="146" t="str">
        <f ca="1">IFERROR(INDEX(Events!$A:$A,MATCH(M44,Events!$I:$I,0)),"")</f>
        <v/>
      </c>
      <c r="N46" s="147"/>
      <c r="O46" s="146" t="str">
        <f ca="1">IFERROR(INDEX(Events!$A:$A,MATCH(O44,Events!$I:$I,0)),"")</f>
        <v/>
      </c>
      <c r="P46" s="147"/>
      <c r="R46" s="150"/>
    </row>
    <row r="47" spans="1:18" s="54" customFormat="1" ht="10.199999999999999" customHeight="1" x14ac:dyDescent="0.2">
      <c r="A47" s="143"/>
      <c r="C47" s="180" t="str">
        <f ca="1">IFERROR(INDEX(Events!$A:$A,MATCH(C44,Events!$J:$J,0)),"")</f>
        <v/>
      </c>
      <c r="D47" s="181"/>
      <c r="E47" s="180" t="s">
        <v>120</v>
      </c>
      <c r="F47" s="181"/>
      <c r="G47" s="180" t="s">
        <v>120</v>
      </c>
      <c r="H47" s="181"/>
      <c r="I47" s="180" t="s">
        <v>120</v>
      </c>
      <c r="J47" s="181"/>
      <c r="K47" s="180" t="s">
        <v>120</v>
      </c>
      <c r="L47" s="181"/>
      <c r="M47" s="180" t="s">
        <v>120</v>
      </c>
      <c r="N47" s="181"/>
      <c r="O47" s="180" t="str">
        <f ca="1">IFERROR(INDEX(Events!$A:$A,MATCH(O44,Events!$J:$J,0)),"")</f>
        <v/>
      </c>
      <c r="P47" s="181"/>
      <c r="R47" s="150"/>
    </row>
    <row r="48" spans="1:18" s="1" customFormat="1" ht="13.2" customHeight="1" x14ac:dyDescent="0.2">
      <c r="A48" s="143"/>
      <c r="C48" s="50">
        <f>IF(O44="","",IF(MONTH(O44+1)&lt;&gt;MONTH(O44),"",O44+1))</f>
        <v>45704</v>
      </c>
      <c r="D48" s="52" t="str">
        <f>IFERROR(INDEX(Events!$A:$A,MATCH(C48,Events!$G:$G,0)),"")</f>
        <v/>
      </c>
      <c r="E48" s="50">
        <f>IF(C48="","",IF(MONTH(C48+1)&lt;&gt;MONTH(C48),"",C48+1))</f>
        <v>45705</v>
      </c>
      <c r="F48" s="52" t="str">
        <f>IFERROR(INDEX(Events!$A:$A,MATCH(E48,Events!$G:$G,0)),"")</f>
        <v>Presidents' Day</v>
      </c>
      <c r="G48" s="50">
        <f>IF(E48="","",IF(MONTH(E48+1)&lt;&gt;MONTH(E48),"",E48+1))</f>
        <v>45706</v>
      </c>
      <c r="H48" s="52" t="str">
        <f>IFERROR(INDEX(Events!$A:$A,MATCH(G48,Events!$G:$G,0)),"")</f>
        <v/>
      </c>
      <c r="I48" s="50">
        <f>IF(G48="","",IF(MONTH(G48+1)&lt;&gt;MONTH(G48),"",G48+1))</f>
        <v>45707</v>
      </c>
      <c r="J48" s="52" t="str">
        <f>IFERROR(INDEX(Events!$A:$A,MATCH(I48,Events!$G:$G,0)),"")</f>
        <v/>
      </c>
      <c r="K48" s="50">
        <f>IF(I48="","",IF(MONTH(I48+1)&lt;&gt;MONTH(I48),"",I48+1))</f>
        <v>45708</v>
      </c>
      <c r="L48" s="52" t="str">
        <f>IFERROR(INDEX(Events!$A:$A,MATCH(K48,Events!$G:$G,0)),"")</f>
        <v/>
      </c>
      <c r="M48" s="50">
        <f>IF(K48="","",IF(MONTH(K48+1)&lt;&gt;MONTH(K48),"",K48+1))</f>
        <v>45709</v>
      </c>
      <c r="N48" s="52" t="str">
        <f>IFERROR(INDEX(Events!$A:$A,MATCH(M48,Events!$G:$G,0)),"")</f>
        <v/>
      </c>
      <c r="O48" s="50">
        <f>IF(M48="","",IF(MONTH(M48+1)&lt;&gt;MONTH(M48),"",M48+1))</f>
        <v>45710</v>
      </c>
      <c r="P48" s="52" t="str">
        <f>IFERROR(INDEX(Events!$A:$A,MATCH(O48,Events!$G:$G,0)),"")</f>
        <v/>
      </c>
      <c r="R48" s="150" t="s">
        <v>133</v>
      </c>
    </row>
    <row r="49" spans="1:18" s="54" customFormat="1" ht="10.199999999999999" customHeight="1" x14ac:dyDescent="0.2">
      <c r="A49" s="143"/>
      <c r="C49" s="146" t="str">
        <f ca="1">IFERROR(INDEX(Events!$A:$A,MATCH(C48,Events!$H:$H,0)),"")</f>
        <v/>
      </c>
      <c r="D49" s="147"/>
      <c r="E49" s="146" t="str">
        <f ca="1">IFERROR(INDEX(Events!$A:$A,MATCH(E48,Events!$H:$H,0)),"")</f>
        <v/>
      </c>
      <c r="F49" s="147"/>
      <c r="G49" s="146" t="str">
        <f ca="1">IFERROR(INDEX(Events!$A:$A,MATCH(G48,Events!$H:$H,0)),"")</f>
        <v/>
      </c>
      <c r="H49" s="147"/>
      <c r="I49" s="146" t="str">
        <f ca="1">IFERROR(INDEX(Events!$A:$A,MATCH(I48,Events!$H:$H,0)),"")</f>
        <v/>
      </c>
      <c r="J49" s="147"/>
      <c r="K49" s="146" t="str">
        <f ca="1">IFERROR(INDEX(Events!$A:$A,MATCH(K48,Events!$H:$H,0)),"")</f>
        <v/>
      </c>
      <c r="L49" s="147"/>
      <c r="M49" s="146" t="str">
        <f ca="1">IFERROR(INDEX(Events!$A:$A,MATCH(M48,Events!$H:$H,0)),"")</f>
        <v/>
      </c>
      <c r="N49" s="147"/>
      <c r="O49" s="146" t="str">
        <f ca="1">IFERROR(INDEX(Events!$A:$A,MATCH(O48,Events!$H:$H,0)),"")</f>
        <v/>
      </c>
      <c r="P49" s="147"/>
      <c r="R49" s="150"/>
    </row>
    <row r="50" spans="1:18" s="54" customFormat="1" ht="10.199999999999999" customHeight="1" x14ac:dyDescent="0.2">
      <c r="A50" s="143"/>
      <c r="C50" s="146" t="str">
        <f ca="1">IFERROR(INDEX(Events!$A:$A,MATCH(C48,Events!$I:$I,0)),"")</f>
        <v/>
      </c>
      <c r="D50" s="147"/>
      <c r="E50" s="209" t="s">
        <v>121</v>
      </c>
      <c r="F50" s="173"/>
      <c r="G50" s="146" t="str">
        <f ca="1">IFERROR(INDEX(Events!$A:$A,MATCH(G48,Events!$I:$I,0)),"")</f>
        <v/>
      </c>
      <c r="H50" s="147"/>
      <c r="I50" s="146" t="str">
        <f ca="1">IFERROR(INDEX(Events!$A:$A,MATCH(I48,Events!$I:$I,0)),"")</f>
        <v/>
      </c>
      <c r="J50" s="147"/>
      <c r="K50" s="146" t="str">
        <f ca="1">IFERROR(INDEX(Events!$A:$A,MATCH(K48,Events!$I:$I,0)),"")</f>
        <v/>
      </c>
      <c r="L50" s="147"/>
      <c r="M50" s="146" t="str">
        <f ca="1">IFERROR(INDEX(Events!$A:$A,MATCH(M48,Events!$I:$I,0)),"")</f>
        <v/>
      </c>
      <c r="N50" s="147"/>
      <c r="O50" s="146" t="str">
        <f ca="1">IFERROR(INDEX(Events!$A:$A,MATCH(O48,Events!$I:$I,0)),"")</f>
        <v/>
      </c>
      <c r="P50" s="147"/>
      <c r="R50" s="150"/>
    </row>
    <row r="51" spans="1:18" s="54" customFormat="1" ht="10.199999999999999" customHeight="1" x14ac:dyDescent="0.2">
      <c r="A51" s="143"/>
      <c r="C51" s="180" t="str">
        <f ca="1">IFERROR(INDEX(Events!$A:$A,MATCH(C48,Events!$J:$J,0)),"")</f>
        <v/>
      </c>
      <c r="D51" s="181"/>
      <c r="E51" s="180" t="s">
        <v>120</v>
      </c>
      <c r="F51" s="181"/>
      <c r="G51" s="180" t="s">
        <v>120</v>
      </c>
      <c r="H51" s="181"/>
      <c r="I51" s="180" t="s">
        <v>120</v>
      </c>
      <c r="J51" s="181"/>
      <c r="K51" s="180" t="s">
        <v>120</v>
      </c>
      <c r="L51" s="181"/>
      <c r="M51" s="180" t="s">
        <v>120</v>
      </c>
      <c r="N51" s="181"/>
      <c r="O51" s="180" t="str">
        <f ca="1">IFERROR(INDEX(Events!$A:$A,MATCH(O48,Events!$J:$J,0)),"")</f>
        <v/>
      </c>
      <c r="P51" s="181"/>
      <c r="R51" s="150"/>
    </row>
    <row r="52" spans="1:18" ht="13.2" customHeight="1" x14ac:dyDescent="0.25">
      <c r="A52" s="143"/>
      <c r="C52" s="50">
        <f>IF(O48="","",IF(MONTH(O48+1)&lt;&gt;MONTH(O48),"",O48+1))</f>
        <v>45711</v>
      </c>
      <c r="D52" s="52" t="str">
        <f>IFERROR(INDEX(Events!$A:$A,MATCH(C52,Events!$G:$G,0)),"")</f>
        <v/>
      </c>
      <c r="E52" s="50">
        <f>IF(C52="","",IF(MONTH(C52+1)&lt;&gt;MONTH(C52),"",C52+1))</f>
        <v>45712</v>
      </c>
      <c r="F52" s="52" t="str">
        <f>IFERROR(INDEX(Events!$A:$A,MATCH(E52,Events!$G:$G,0)),"")</f>
        <v/>
      </c>
      <c r="G52" s="50">
        <f>IF(E52="","",IF(MONTH(E52+1)&lt;&gt;MONTH(E52),"",E52+1))</f>
        <v>45713</v>
      </c>
      <c r="H52" s="52" t="str">
        <f>IFERROR(INDEX(Events!$A:$A,MATCH(G52,Events!$G:$G,0)),"")</f>
        <v/>
      </c>
      <c r="I52" s="50">
        <f>IF(G52="","",IF(MONTH(G52+1)&lt;&gt;MONTH(G52),"",G52+1))</f>
        <v>45714</v>
      </c>
      <c r="J52" s="52" t="str">
        <f>IFERROR(INDEX(Events!$A:$A,MATCH(I52,Events!$G:$G,0)),"")</f>
        <v/>
      </c>
      <c r="K52" s="50">
        <f>IF(I52="","",IF(MONTH(I52+1)&lt;&gt;MONTH(I52),"",I52+1))</f>
        <v>45715</v>
      </c>
      <c r="L52" s="99" t="s">
        <v>148</v>
      </c>
      <c r="M52" s="50">
        <f>IF(K52="","",IF(MONTH(K52+1)&lt;&gt;MONTH(K52),"",K52+1))</f>
        <v>45716</v>
      </c>
      <c r="N52" s="99" t="s">
        <v>149</v>
      </c>
      <c r="O52" s="50" t="str">
        <f>IF(M52="","",IF(MONTH(M52+1)&lt;&gt;MONTH(M52),"",M52+1))</f>
        <v/>
      </c>
      <c r="P52" s="52" t="str">
        <f>IFERROR(INDEX(Events!$A:$A,MATCH(O52,Events!$G:$G,0)),"")</f>
        <v/>
      </c>
      <c r="R52" s="150" t="s">
        <v>134</v>
      </c>
    </row>
    <row r="53" spans="1:18" s="54" customFormat="1" ht="10.199999999999999" customHeight="1" x14ac:dyDescent="0.2">
      <c r="A53" s="143"/>
      <c r="C53" s="146" t="str">
        <f ca="1">IFERROR(INDEX(Events!$A:$A,MATCH(C52,Events!$H:$H,0)),"")</f>
        <v/>
      </c>
      <c r="D53" s="147"/>
      <c r="E53" s="146" t="str">
        <f ca="1">IFERROR(INDEX(Events!$A:$A,MATCH(E52,Events!$H:$H,0)),"")</f>
        <v/>
      </c>
      <c r="F53" s="147"/>
      <c r="G53" s="146" t="str">
        <f ca="1">IFERROR(INDEX(Events!$A:$A,MATCH(G52,Events!$H:$H,0)),"")</f>
        <v/>
      </c>
      <c r="H53" s="147"/>
      <c r="I53" s="146" t="str">
        <f ca="1">IFERROR(INDEX(Events!$A:$A,MATCH(I52,Events!$H:$H,0)),"")</f>
        <v/>
      </c>
      <c r="J53" s="147"/>
      <c r="K53" s="146" t="str">
        <f ca="1">IFERROR(INDEX(Events!$A:$A,MATCH(K52,Events!$H:$H,0)),"")</f>
        <v/>
      </c>
      <c r="L53" s="147"/>
      <c r="M53" s="146" t="str">
        <f ca="1">IFERROR(INDEX(Events!$A:$A,MATCH(M52,Events!$H:$H,0)),"")</f>
        <v/>
      </c>
      <c r="N53" s="147"/>
      <c r="O53" s="146" t="str">
        <f ca="1">IFERROR(INDEX(Events!$A:$A,MATCH(O52,Events!$H:$H,0)),"")</f>
        <v/>
      </c>
      <c r="P53" s="147"/>
      <c r="R53" s="150"/>
    </row>
    <row r="54" spans="1:18" s="54" customFormat="1" ht="10.199999999999999" customHeight="1" x14ac:dyDescent="0.2">
      <c r="A54" s="143"/>
      <c r="C54" s="146" t="str">
        <f ca="1">IFERROR(INDEX(Events!$A:$A,MATCH(C52,Events!$I:$I,0)),"")</f>
        <v/>
      </c>
      <c r="D54" s="147"/>
      <c r="E54" s="209" t="s">
        <v>121</v>
      </c>
      <c r="F54" s="173"/>
      <c r="G54" s="146" t="str">
        <f ca="1">IFERROR(INDEX(Events!$A:$A,MATCH(G52,Events!$I:$I,0)),"")</f>
        <v/>
      </c>
      <c r="H54" s="147"/>
      <c r="I54" s="146" t="str">
        <f ca="1">IFERROR(INDEX(Events!$A:$A,MATCH(I52,Events!$I:$I,0)),"")</f>
        <v/>
      </c>
      <c r="J54" s="147"/>
      <c r="K54" s="209" t="s">
        <v>121</v>
      </c>
      <c r="L54" s="173"/>
      <c r="M54" s="209" t="s">
        <v>121</v>
      </c>
      <c r="N54" s="173"/>
      <c r="O54" s="146" t="str">
        <f ca="1">IFERROR(INDEX(Events!$A:$A,MATCH(O52,Events!$I:$I,0)),"")</f>
        <v/>
      </c>
      <c r="P54" s="147"/>
      <c r="R54" s="150"/>
    </row>
    <row r="55" spans="1:18" s="54" customFormat="1" ht="10.199999999999999" customHeight="1" x14ac:dyDescent="0.2">
      <c r="A55" s="143"/>
      <c r="C55" s="211" t="str">
        <f ca="1">IFERROR(INDEX(Events!$A:$A,MATCH(C52,Events!$J:$J,0)),"")</f>
        <v/>
      </c>
      <c r="D55" s="177"/>
      <c r="E55" s="211" t="s">
        <v>120</v>
      </c>
      <c r="F55" s="177"/>
      <c r="G55" s="211" t="s">
        <v>120</v>
      </c>
      <c r="H55" s="177"/>
      <c r="I55" s="211" t="s">
        <v>120</v>
      </c>
      <c r="J55" s="177"/>
      <c r="K55" s="211" t="s">
        <v>120</v>
      </c>
      <c r="L55" s="177"/>
      <c r="M55" s="211" t="s">
        <v>120</v>
      </c>
      <c r="N55" s="177"/>
      <c r="O55" s="180" t="str">
        <f ca="1">IFERROR(INDEX(Events!$A:$A,MATCH(O52,Events!$J:$J,0)),"")</f>
        <v/>
      </c>
      <c r="P55" s="181"/>
      <c r="R55" s="150"/>
    </row>
    <row r="56" spans="1:18" hidden="1" x14ac:dyDescent="0.25">
      <c r="C56" s="93" t="str">
        <f>IF(O52="","",IF(MONTH(O52+1)&lt;&gt;MONTH(O52),"",O52+1))</f>
        <v/>
      </c>
      <c r="D56" s="94" t="str">
        <f>IFERROR(INDEX(Events!$A:$A,MATCH(C56,Events!$G:$G,0)),"")</f>
        <v/>
      </c>
      <c r="E56" s="93" t="str">
        <f>IF(C56="","",IF(MONTH(C56+1)&lt;&gt;MONTH(C56),"",C56+1))</f>
        <v/>
      </c>
      <c r="F56" s="94" t="str">
        <f>IFERROR(INDEX(Events!$A:$A,MATCH(E56,Events!$G:$G,0)),"")</f>
        <v/>
      </c>
    </row>
    <row r="57" spans="1:18" s="54" customFormat="1" ht="10.199999999999999" hidden="1" x14ac:dyDescent="0.2">
      <c r="C57" s="95" t="str">
        <f ca="1">IFERROR(INDEX(Events!$A:$A,MATCH(C56,Events!$H:$H,0)),"")</f>
        <v/>
      </c>
      <c r="D57" s="95" t="str">
        <f ca="1">IFERROR(INDEX(Events!#REF!,MATCH(C57,Events!A:A,0)),"")</f>
        <v/>
      </c>
      <c r="E57" s="95" t="str">
        <f ca="1">IFERROR(INDEX(Events!$A:$A,MATCH(E56,Events!$H:$H,0)),"")</f>
        <v/>
      </c>
      <c r="F57" s="95" t="str">
        <f ca="1">IFERROR(INDEX(Events!#REF!,MATCH(E57,Events!C:C,0)),"")</f>
        <v/>
      </c>
      <c r="J57" s="55"/>
      <c r="K57" s="55"/>
      <c r="L57" s="55"/>
      <c r="M57" s="55"/>
      <c r="N57" s="55"/>
      <c r="O57" s="55"/>
      <c r="P57" s="55"/>
      <c r="R57" s="101"/>
    </row>
    <row r="58" spans="1:18" s="54" customFormat="1" ht="10.199999999999999" hidden="1" customHeight="1" x14ac:dyDescent="0.2">
      <c r="C58" s="165" t="str">
        <f ca="1">IFERROR(INDEX(Events!$A:$A,MATCH(C56,Events!$I:$I,0)),"")</f>
        <v/>
      </c>
      <c r="D58" s="165"/>
      <c r="E58" s="165" t="str">
        <f ca="1">IFERROR(INDEX(Events!$A:$A,MATCH(E56,Events!$I:$I,0)),"")</f>
        <v/>
      </c>
      <c r="F58" s="165"/>
      <c r="I58" s="210"/>
      <c r="J58" s="210"/>
      <c r="K58" s="210"/>
      <c r="L58" s="210"/>
      <c r="M58" s="210"/>
      <c r="N58" s="210"/>
      <c r="O58" s="210"/>
      <c r="P58" s="210"/>
      <c r="R58" s="101"/>
    </row>
    <row r="59" spans="1:18" s="54" customFormat="1" ht="22.8" hidden="1" customHeight="1" x14ac:dyDescent="0.2">
      <c r="C59" s="165" t="str">
        <f ca="1">IFERROR(INDEX(Events!$A:$A,MATCH(C56,Events!$J:$J,0)),"")</f>
        <v/>
      </c>
      <c r="D59" s="165"/>
      <c r="E59" s="165"/>
      <c r="F59" s="165"/>
      <c r="I59" s="210"/>
      <c r="J59" s="210"/>
      <c r="K59" s="210"/>
      <c r="L59" s="210"/>
      <c r="M59" s="210"/>
      <c r="N59" s="210"/>
      <c r="O59" s="210"/>
      <c r="P59" s="210"/>
      <c r="R59" s="101"/>
    </row>
    <row r="60" spans="1:18" ht="13.8" customHeight="1" x14ac:dyDescent="0.55000000000000004">
      <c r="I60" s="210"/>
      <c r="J60" s="210"/>
      <c r="K60" s="210"/>
      <c r="L60" s="210"/>
      <c r="M60" s="210"/>
      <c r="N60" s="210"/>
      <c r="O60" s="210"/>
      <c r="P60" s="210"/>
    </row>
    <row r="61" spans="1:18" hidden="1" x14ac:dyDescent="0.25">
      <c r="C61" s="1" t="s">
        <v>1</v>
      </c>
      <c r="D61" s="6">
        <f>DATE(YEAR('Q1'!$D$7),MONTH('Q1'!$D$7)+2,1)</f>
        <v>45717</v>
      </c>
      <c r="E61" s="1"/>
      <c r="F61" s="1"/>
      <c r="G61" s="1"/>
      <c r="H61" s="1"/>
      <c r="I61" s="1"/>
      <c r="J61" s="1"/>
      <c r="K61" s="1"/>
      <c r="L61" s="1"/>
      <c r="M61" s="1"/>
      <c r="N61" s="1"/>
      <c r="O61" s="1"/>
      <c r="P61" s="1"/>
    </row>
    <row r="62" spans="1:18" s="56" customFormat="1" ht="18" customHeight="1" x14ac:dyDescent="0.25">
      <c r="A62" s="143">
        <f>D61</f>
        <v>45717</v>
      </c>
      <c r="C62" s="144" t="s">
        <v>109</v>
      </c>
      <c r="D62" s="145"/>
      <c r="E62" s="144" t="s">
        <v>110</v>
      </c>
      <c r="F62" s="145"/>
      <c r="G62" s="144" t="s">
        <v>111</v>
      </c>
      <c r="H62" s="145"/>
      <c r="I62" s="144" t="s">
        <v>112</v>
      </c>
      <c r="J62" s="145"/>
      <c r="K62" s="144" t="s">
        <v>113</v>
      </c>
      <c r="L62" s="145"/>
      <c r="M62" s="144" t="s">
        <v>114</v>
      </c>
      <c r="N62" s="145"/>
      <c r="O62" s="144" t="s">
        <v>115</v>
      </c>
      <c r="P62" s="145"/>
      <c r="R62" s="96" t="s">
        <v>132</v>
      </c>
    </row>
    <row r="63" spans="1:18" ht="13.2" customHeight="1" x14ac:dyDescent="0.25">
      <c r="A63" s="143"/>
      <c r="C63" s="50" t="str">
        <f>IF(WEEKDAY($D$61,1)=startday,$D$61,"")</f>
        <v/>
      </c>
      <c r="D63" s="52" t="str">
        <f>IFERROR(INDEX(Events!$A:$A,MATCH(C63,Events!$G:$G,0)),"")</f>
        <v/>
      </c>
      <c r="E63" s="50" t="str">
        <f>IF(C63="",IF(WEEKDAY($D$61,1)=MOD(startday,7)+1,$D$61,""),C63+1)</f>
        <v/>
      </c>
      <c r="F63" s="52" t="str">
        <f>IFERROR(INDEX(Events!$A:$A,MATCH(E63,Events!$G:$G,0)),"")</f>
        <v/>
      </c>
      <c r="G63" s="50" t="str">
        <f>IF(E63="",IF(WEEKDAY($D$61,1)=MOD(startday+1,7)+1,$D$61,""),E63+1)</f>
        <v/>
      </c>
      <c r="H63" s="52" t="str">
        <f>IFERROR(INDEX(Events!$A:$A,MATCH(G63,Events!$G:$G,0)),"")</f>
        <v/>
      </c>
      <c r="I63" s="50" t="str">
        <f>IF(G63="",IF(WEEKDAY($D$61,1)=MOD(startday+2,7)+1,$D$61,""),G63+1)</f>
        <v/>
      </c>
      <c r="J63" s="52" t="str">
        <f>IFERROR(INDEX(Events!$A:$A,MATCH(I63,Events!$G:$G,0)),"")</f>
        <v/>
      </c>
      <c r="K63" s="50" t="str">
        <f>IF(I63="",IF(WEEKDAY($D$61,1)=MOD(startday+3,7)+1,$D$61,""),I63+1)</f>
        <v/>
      </c>
      <c r="L63" s="52" t="str">
        <f>IFERROR(INDEX(Events!$A:$A,MATCH(K63,Events!$G:$G,0)),"")</f>
        <v/>
      </c>
      <c r="M63" s="50" t="str">
        <f>IF(K63="",IF(WEEKDAY($D$61,1)=MOD(startday+4,7)+1,$D$61,""),K63+1)</f>
        <v/>
      </c>
      <c r="N63" s="52" t="str">
        <f>IFERROR(INDEX(Events!$A:$A,MATCH(M63,Events!$G:$G,0)),"")</f>
        <v/>
      </c>
      <c r="O63" s="50">
        <f>IF(M63="",IF(WEEKDAY($D$61,1)=MOD(startday+5,7)+1,$D$61,""),M63+1)</f>
        <v>45717</v>
      </c>
      <c r="P63" s="52"/>
      <c r="R63" s="184" t="s">
        <v>135</v>
      </c>
    </row>
    <row r="64" spans="1:18" s="54" customFormat="1" ht="10.199999999999999" customHeight="1" x14ac:dyDescent="0.2">
      <c r="A64" s="143"/>
      <c r="C64" s="146" t="str">
        <f ca="1">IFERROR(INDEX(Events!$A:$A,MATCH(C63,Events!$H:$H,0)),"")</f>
        <v/>
      </c>
      <c r="D64" s="147"/>
      <c r="E64" s="146" t="str">
        <f ca="1">IFERROR(INDEX(Events!$A:$A,MATCH(E63,Events!$H:$H,0)),"")</f>
        <v/>
      </c>
      <c r="F64" s="147"/>
      <c r="G64" s="146" t="str">
        <f ca="1">IFERROR(INDEX(Events!$A:$A,MATCH(G63,Events!$H:$H,0)),"")</f>
        <v/>
      </c>
      <c r="H64" s="147"/>
      <c r="I64" s="146" t="str">
        <f ca="1">IFERROR(INDEX(Events!$A:$A,MATCH(I63,Events!$H:$H,0)),"")</f>
        <v/>
      </c>
      <c r="J64" s="147"/>
      <c r="K64" s="146" t="str">
        <f ca="1">IFERROR(INDEX(Events!$A:$A,MATCH(K63,Events!$H:$H,0)),"")</f>
        <v/>
      </c>
      <c r="L64" s="147"/>
      <c r="M64" s="146" t="str">
        <f ca="1">IFERROR(INDEX(Events!$A:$A,MATCH(M63,Events!$H:$H,0)),"")</f>
        <v/>
      </c>
      <c r="N64" s="147"/>
      <c r="O64" s="146" t="str">
        <f ca="1">IFERROR(INDEX(Events!$A:$A,MATCH(O63,Events!$H:$H,0)),"")</f>
        <v/>
      </c>
      <c r="P64" s="147"/>
      <c r="R64" s="184"/>
    </row>
    <row r="65" spans="1:18" s="54" customFormat="1" ht="10.199999999999999" customHeight="1" x14ac:dyDescent="0.2">
      <c r="A65" s="143"/>
      <c r="C65" s="146" t="str">
        <f ca="1">IFERROR(INDEX(Events!$A:$A,MATCH(C63,Events!$I:$I,0)),"")</f>
        <v/>
      </c>
      <c r="D65" s="147"/>
      <c r="E65" s="146" t="str">
        <f ca="1">IFERROR(INDEX(Events!$A:$A,MATCH(E63,Events!$I:$I,0)),"")</f>
        <v/>
      </c>
      <c r="F65" s="147"/>
      <c r="G65" s="146" t="str">
        <f ca="1">IFERROR(INDEX(Events!$A:$A,MATCH(G63,Events!$I:$I,0)),"")</f>
        <v/>
      </c>
      <c r="H65" s="147"/>
      <c r="I65" s="146" t="str">
        <f ca="1">IFERROR(INDEX(Events!$A:$A,MATCH(I63,Events!$I:$I,0)),"")</f>
        <v/>
      </c>
      <c r="J65" s="147"/>
      <c r="K65" s="146" t="str">
        <f ca="1">IFERROR(INDEX(Events!$A:$A,MATCH(K63,Events!$I:$I,0)),"")</f>
        <v/>
      </c>
      <c r="L65" s="147"/>
      <c r="M65" s="146" t="str">
        <f ca="1">IFERROR(INDEX(Events!$A:$A,MATCH(M63,Events!$I:$I,0)),"")</f>
        <v/>
      </c>
      <c r="N65" s="147"/>
      <c r="O65" s="146" t="str">
        <f ca="1">IFERROR(INDEX(Events!$A:$A,MATCH(O63,Events!$I:$I,0)),"")</f>
        <v/>
      </c>
      <c r="P65" s="147"/>
      <c r="R65" s="184"/>
    </row>
    <row r="66" spans="1:18" s="54" customFormat="1" ht="10.199999999999999" customHeight="1" x14ac:dyDescent="0.2">
      <c r="A66" s="143"/>
      <c r="C66" s="146" t="str">
        <f ca="1">IFERROR(INDEX(Events!$A:$A,MATCH(C63,Events!$J:$J,0)),"")</f>
        <v/>
      </c>
      <c r="D66" s="147"/>
      <c r="E66" s="146" t="str">
        <f ca="1">IFERROR(INDEX(Events!$A:$A,MATCH(E63,Events!$J:$J,0)),"")</f>
        <v/>
      </c>
      <c r="F66" s="147"/>
      <c r="G66" s="146" t="str">
        <f ca="1">IFERROR(INDEX(Events!$A:$A,MATCH(G63,Events!$J:$J,0)),"")</f>
        <v/>
      </c>
      <c r="H66" s="147"/>
      <c r="I66" s="146" t="str">
        <f ca="1">IFERROR(INDEX(Events!$A:$A,MATCH(I63,Events!$J:$J,0)),"")</f>
        <v/>
      </c>
      <c r="J66" s="147"/>
      <c r="K66" s="146" t="str">
        <f ca="1">IFERROR(INDEX(Events!$A:$A,MATCH(K63,Events!$J:$J,0)),"")</f>
        <v/>
      </c>
      <c r="L66" s="147"/>
      <c r="M66" s="146" t="str">
        <f ca="1">IFERROR(INDEX(Events!$A:$A,MATCH(M63,Events!$J:$J,0)),"")</f>
        <v/>
      </c>
      <c r="N66" s="147"/>
      <c r="O66" s="211" t="s">
        <v>120</v>
      </c>
      <c r="P66" s="177"/>
      <c r="R66" s="184"/>
    </row>
    <row r="67" spans="1:18" ht="13.2" customHeight="1" x14ac:dyDescent="0.25">
      <c r="A67" s="143"/>
      <c r="C67" s="50">
        <f>IF(O63="","",IF(MONTH(O63+1)&lt;&gt;MONTH(O63),"",O63+1))</f>
        <v>45718</v>
      </c>
      <c r="D67" s="52" t="str">
        <f>IFERROR(INDEX(Events!$A:$A,MATCH(C67,Events!$G:$G,0)),"")</f>
        <v/>
      </c>
      <c r="E67" s="107">
        <f>IF(C67="","",IF(MONTH(C67+1)&lt;&gt;MONTH(C67),"",C67+1))</f>
        <v>45719</v>
      </c>
      <c r="F67" s="108" t="s">
        <v>141</v>
      </c>
      <c r="G67" s="50">
        <f>IF(E67="","",IF(MONTH(E67+1)&lt;&gt;MONTH(E67),"",E67+1))</f>
        <v>45720</v>
      </c>
      <c r="H67" s="97" t="s">
        <v>142</v>
      </c>
      <c r="I67" s="50">
        <f>IF(G67="","",IF(MONTH(G67+1)&lt;&gt;MONTH(G67),"",G67+1))</f>
        <v>45721</v>
      </c>
      <c r="J67" s="97" t="s">
        <v>143</v>
      </c>
      <c r="K67" s="50">
        <f>IF(I67="","",IF(MONTH(I67+1)&lt;&gt;MONTH(I67),"",I67+1))</f>
        <v>45722</v>
      </c>
      <c r="L67" s="97" t="s">
        <v>144</v>
      </c>
      <c r="M67" s="50">
        <f>IF(K67="","",IF(MONTH(K67+1)&lt;&gt;MONTH(K67),"",K67+1))</f>
        <v>45723</v>
      </c>
      <c r="N67" s="97" t="s">
        <v>145</v>
      </c>
      <c r="O67" s="50">
        <f>IF(M67="","",IF(MONTH(M67+1)&lt;&gt;MONTH(M67),"",M67+1))</f>
        <v>45724</v>
      </c>
      <c r="P67" s="52" t="str">
        <f>IFERROR(INDEX(Events!$A:$A,MATCH(O67,Events!$G:$G,0)),"")</f>
        <v/>
      </c>
      <c r="R67" s="150" t="s">
        <v>136</v>
      </c>
    </row>
    <row r="68" spans="1:18" s="54" customFormat="1" ht="10.199999999999999" customHeight="1" x14ac:dyDescent="0.2">
      <c r="A68" s="143"/>
      <c r="C68" s="146" t="str">
        <f ca="1">IFERROR(INDEX(Events!$A:$A,MATCH(C67,Events!$H:$H,0)),"")</f>
        <v/>
      </c>
      <c r="D68" s="147"/>
      <c r="E68" s="191" t="s">
        <v>165</v>
      </c>
      <c r="F68" s="192"/>
      <c r="G68" s="187" t="s">
        <v>163</v>
      </c>
      <c r="H68" s="188" t="str">
        <f>IFERROR(INDEX(Events!#REF!,MATCH(G68,Events!E:E,0)),"")</f>
        <v/>
      </c>
      <c r="I68" s="146" t="str">
        <f ca="1">IFERROR(INDEX(Events!$A:$A,MATCH(I67,Events!$H:$H,0)),"")</f>
        <v/>
      </c>
      <c r="J68" s="147"/>
      <c r="K68" s="146" t="str">
        <f ca="1">IFERROR(INDEX(Events!$A:$A,MATCH(K67,Events!$H:$H,0)),"")</f>
        <v/>
      </c>
      <c r="L68" s="147"/>
      <c r="M68" s="193" t="s">
        <v>119</v>
      </c>
      <c r="N68" s="167" t="str">
        <f>IFERROR(INDEX(Events!E:E,MATCH(M68,Events!#REF!,0)),"")</f>
        <v/>
      </c>
      <c r="O68" s="146" t="str">
        <f ca="1">IFERROR(INDEX(Events!$A:$A,MATCH(O67,Events!$H:$H,0)),"")</f>
        <v/>
      </c>
      <c r="P68" s="147"/>
      <c r="R68" s="150"/>
    </row>
    <row r="69" spans="1:18" s="54" customFormat="1" ht="10.199999999999999" customHeight="1" x14ac:dyDescent="0.2">
      <c r="A69" s="143"/>
      <c r="C69" s="146" t="str">
        <f ca="1">IFERROR(INDEX(Events!$A:$A,MATCH(C67,Events!$I:$I,0)),"")</f>
        <v/>
      </c>
      <c r="D69" s="147"/>
      <c r="E69" s="191" t="s">
        <v>121</v>
      </c>
      <c r="F69" s="192"/>
      <c r="G69" s="146" t="str">
        <f ca="1">IFERROR(INDEX(Events!$A:$A,MATCH(G67,Events!$I:$I,0)),"")</f>
        <v/>
      </c>
      <c r="H69" s="147"/>
      <c r="I69" s="146" t="str">
        <f ca="1">IFERROR(INDEX(Events!$A:$A,MATCH(I67,Events!$I:$I,0)),"")</f>
        <v/>
      </c>
      <c r="J69" s="147"/>
      <c r="K69" s="146" t="str">
        <f ca="1">IFERROR(INDEX(Events!$A:$A,MATCH(K67,Events!$I:$I,0)),"")</f>
        <v/>
      </c>
      <c r="L69" s="147"/>
      <c r="M69" s="146" t="str">
        <f ca="1">IFERROR(INDEX(Events!$A:$A,MATCH(M67,Events!$I:$I,0)),"")</f>
        <v/>
      </c>
      <c r="N69" s="147"/>
      <c r="O69" s="146" t="str">
        <f ca="1">IFERROR(INDEX(Events!$A:$A,MATCH(O67,Events!$I:$I,0)),"")</f>
        <v/>
      </c>
      <c r="P69" s="147"/>
      <c r="R69" s="150"/>
    </row>
    <row r="70" spans="1:18" s="54" customFormat="1" ht="10.199999999999999" customHeight="1" x14ac:dyDescent="0.2">
      <c r="A70" s="143"/>
      <c r="C70" s="146" t="str">
        <f ca="1">IFERROR(INDEX(Events!$A:$A,MATCH(C67,Events!$J:$J,0)),"")</f>
        <v/>
      </c>
      <c r="D70" s="147"/>
      <c r="E70" s="212" t="s">
        <v>120</v>
      </c>
      <c r="F70" s="213"/>
      <c r="G70" s="211" t="s">
        <v>120</v>
      </c>
      <c r="H70" s="177"/>
      <c r="I70" s="211" t="s">
        <v>120</v>
      </c>
      <c r="J70" s="177"/>
      <c r="K70" s="211" t="s">
        <v>120</v>
      </c>
      <c r="L70" s="177"/>
      <c r="M70" s="211" t="s">
        <v>120</v>
      </c>
      <c r="N70" s="177"/>
      <c r="O70" s="146" t="str">
        <f ca="1">IFERROR(INDEX(Events!$A:$A,MATCH(O67,Events!$J:$J,0)),"")</f>
        <v/>
      </c>
      <c r="P70" s="147"/>
      <c r="R70" s="150"/>
    </row>
    <row r="71" spans="1:18" ht="13.2" customHeight="1" x14ac:dyDescent="0.25">
      <c r="A71" s="143"/>
      <c r="C71" s="50">
        <f>IF(O67="","",IF(MONTH(O67+1)&lt;&gt;MONTH(O67),"",O67+1))</f>
        <v>45725</v>
      </c>
      <c r="D71" s="52" t="str">
        <f>IFERROR(INDEX(Events!$A:$A,MATCH(C71,Events!$G:$G,0)),"")</f>
        <v>Daylight Saving</v>
      </c>
      <c r="E71" s="50">
        <f>IF(C71="","",IF(MONTH(C71+1)&lt;&gt;MONTH(C71),"",C71+1))</f>
        <v>45726</v>
      </c>
      <c r="F71" s="97" t="s">
        <v>146</v>
      </c>
      <c r="G71" s="102">
        <f>IF(E71="","",IF(MONTH(E71+1)&lt;&gt;MONTH(E71),"",E71+1))</f>
        <v>45727</v>
      </c>
      <c r="H71" s="97" t="s">
        <v>147</v>
      </c>
      <c r="I71" s="102">
        <f>IF(G71="","",IF(MONTH(G71+1)&lt;&gt;MONTH(G71),"",G71+1))</f>
        <v>45728</v>
      </c>
      <c r="J71" s="97" t="s">
        <v>151</v>
      </c>
      <c r="K71" s="102">
        <f>IF(I71="","",IF(MONTH(I71+1)&lt;&gt;MONTH(I71),"",I71+1))</f>
        <v>45729</v>
      </c>
      <c r="L71" s="97" t="s">
        <v>153</v>
      </c>
      <c r="M71" s="102">
        <f>IF(K71="","",IF(MONTH(K71+1)&lt;&gt;MONTH(K71),"",K71+1))</f>
        <v>45730</v>
      </c>
      <c r="N71" s="97" t="s">
        <v>154</v>
      </c>
      <c r="O71" s="50">
        <f>IF(M71="","",IF(MONTH(M71+1)&lt;&gt;MONTH(M71),"",M71+1))</f>
        <v>45731</v>
      </c>
      <c r="P71" s="52" t="str">
        <f>IFERROR(INDEX(Events!$A:$A,MATCH(O71,Events!$G:$G,0)),"")</f>
        <v/>
      </c>
      <c r="R71" s="150" t="s">
        <v>137</v>
      </c>
    </row>
    <row r="72" spans="1:18" s="54" customFormat="1" ht="10.199999999999999" customHeight="1" x14ac:dyDescent="0.2">
      <c r="A72" s="143"/>
      <c r="C72" s="146" t="str">
        <f ca="1">IFERROR(INDEX(Events!$A:$A,MATCH(C71,Events!$H:$H,0)),"")</f>
        <v/>
      </c>
      <c r="D72" s="147"/>
      <c r="E72" s="146" t="str">
        <f ca="1">IFERROR(INDEX(Events!$A:$A,MATCH(E71,Events!$H:$H,0)),"")</f>
        <v/>
      </c>
      <c r="F72" s="147"/>
      <c r="G72" s="146" t="str">
        <f ca="1">IFERROR(INDEX(Events!$A:$A,MATCH(G71,Events!$H:$H,0)),"")</f>
        <v/>
      </c>
      <c r="H72" s="147"/>
      <c r="I72" s="196" t="s">
        <v>162</v>
      </c>
      <c r="J72" s="197" t="str">
        <f>IFERROR(INDEX(Events!A:A,MATCH(I72,Events!#REF!,0)),"")</f>
        <v/>
      </c>
      <c r="K72" s="146" t="str">
        <f ca="1">IFERROR(INDEX(Events!$A:$A,MATCH(K71,Events!$H:$H,0)),"")</f>
        <v/>
      </c>
      <c r="L72" s="147"/>
      <c r="M72" s="146" t="str">
        <f ca="1">IFERROR(INDEX(Events!$A:$A,MATCH(M71,Events!$H:$H,0)),"")</f>
        <v/>
      </c>
      <c r="N72" s="147"/>
      <c r="O72" s="146" t="str">
        <f ca="1">IFERROR(INDEX(Events!$A:$A,MATCH(O71,Events!$H:$H,0)),"")</f>
        <v/>
      </c>
      <c r="P72" s="147"/>
      <c r="R72" s="150"/>
    </row>
    <row r="73" spans="1:18" s="54" customFormat="1" ht="10.199999999999999" customHeight="1" x14ac:dyDescent="0.2">
      <c r="A73" s="143"/>
      <c r="C73" s="146" t="str">
        <f ca="1">IFERROR(INDEX(Events!$A:$A,MATCH(C71,Events!$I:$I,0)),"")</f>
        <v/>
      </c>
      <c r="D73" s="147"/>
      <c r="E73" s="209" t="s">
        <v>121</v>
      </c>
      <c r="F73" s="173"/>
      <c r="G73" s="146" t="str">
        <f ca="1">IFERROR(INDEX(Events!$A:$A,MATCH(G71,Events!$I:$I,0)),"")</f>
        <v/>
      </c>
      <c r="H73" s="147"/>
      <c r="I73" s="146" t="str">
        <f ca="1">IFERROR(INDEX(Events!$A:$A,MATCH(I71,Events!$I:$I,0)),"")</f>
        <v/>
      </c>
      <c r="J73" s="147"/>
      <c r="K73" s="146" t="str">
        <f ca="1">IFERROR(INDEX(Events!$A:$A,MATCH(K71,Events!$I:$I,0)),"")</f>
        <v/>
      </c>
      <c r="L73" s="147"/>
      <c r="M73" s="146" t="str">
        <f ca="1">IFERROR(INDEX(Events!$A:$A,MATCH(M71,Events!$I:$I,0)),"")</f>
        <v/>
      </c>
      <c r="N73" s="147"/>
      <c r="O73" s="146" t="str">
        <f ca="1">IFERROR(INDEX(Events!$A:$A,MATCH(O71,Events!$I:$I,0)),"")</f>
        <v/>
      </c>
      <c r="P73" s="147"/>
      <c r="R73" s="150"/>
    </row>
    <row r="74" spans="1:18" s="54" customFormat="1" ht="10.199999999999999" customHeight="1" x14ac:dyDescent="0.2">
      <c r="A74" s="143"/>
      <c r="C74" s="146" t="str">
        <f ca="1">IFERROR(INDEX(Events!$A:$A,MATCH(C71,Events!$J:$J,0)),"")</f>
        <v/>
      </c>
      <c r="D74" s="147"/>
      <c r="E74" s="146" t="s">
        <v>120</v>
      </c>
      <c r="F74" s="147"/>
      <c r="G74" s="211" t="s">
        <v>120</v>
      </c>
      <c r="H74" s="177"/>
      <c r="I74" s="211" t="s">
        <v>120</v>
      </c>
      <c r="J74" s="177"/>
      <c r="K74" s="211" t="s">
        <v>120</v>
      </c>
      <c r="L74" s="177"/>
      <c r="M74" s="211" t="s">
        <v>120</v>
      </c>
      <c r="N74" s="177"/>
      <c r="O74" s="146" t="str">
        <f ca="1">IFERROR(INDEX(Events!$A:$A,MATCH(O71,Events!$J:$J,0)),"")</f>
        <v/>
      </c>
      <c r="P74" s="147"/>
      <c r="R74" s="150"/>
    </row>
    <row r="75" spans="1:18" ht="13.2" customHeight="1" x14ac:dyDescent="0.25">
      <c r="A75" s="143"/>
      <c r="C75" s="50">
        <f>IF(O71="","",IF(MONTH(O71+1)&lt;&gt;MONTH(O71),"",O71+1))</f>
        <v>45732</v>
      </c>
      <c r="D75" s="52" t="str">
        <f>IFERROR(INDEX(Events!$A:$A,MATCH(C75,Events!$G:$G,0)),"")</f>
        <v/>
      </c>
      <c r="E75" s="50">
        <f>IF(C75="","",IF(MONTH(C75+1)&lt;&gt;MONTH(C75),"",C75+1))</f>
        <v>45733</v>
      </c>
      <c r="F75" s="52"/>
      <c r="G75" s="50">
        <f>IF(E75="","",IF(MONTH(E75+1)&lt;&gt;MONTH(E75),"",E75+1))</f>
        <v>45734</v>
      </c>
      <c r="H75" s="98" t="s">
        <v>168</v>
      </c>
      <c r="I75" s="50">
        <f>IF(G75="","",IF(MONTH(G75+1)&lt;&gt;MONTH(G75),"",G75+1))</f>
        <v>45735</v>
      </c>
      <c r="J75" s="98" t="s">
        <v>167</v>
      </c>
      <c r="K75" s="50">
        <f>IF(I75="","",IF(MONTH(I75+1)&lt;&gt;MONTH(I75),"",I75+1))</f>
        <v>45736</v>
      </c>
      <c r="L75" s="98" t="s">
        <v>166</v>
      </c>
      <c r="M75" s="50">
        <f>IF(K75="","",IF(MONTH(K75+1)&lt;&gt;MONTH(K75),"",K75+1))</f>
        <v>45737</v>
      </c>
      <c r="N75" s="98" t="s">
        <v>161</v>
      </c>
      <c r="O75" s="50">
        <f>IF(M75="","",IF(MONTH(M75+1)&lt;&gt;MONTH(M75),"",M75+1))</f>
        <v>45738</v>
      </c>
      <c r="P75" s="52" t="str">
        <f>IFERROR(INDEX(Events!$A:$A,MATCH(O75,Events!$G:$G,0)),"")</f>
        <v/>
      </c>
      <c r="R75" s="150" t="s">
        <v>138</v>
      </c>
    </row>
    <row r="76" spans="1:18" s="54" customFormat="1" ht="10.199999999999999" customHeight="1" x14ac:dyDescent="0.2">
      <c r="A76" s="143"/>
      <c r="C76" s="146" t="str">
        <f ca="1">IFERROR(INDEX(Events!$A:$A,MATCH(C75,Events!$H:$H,0)),"")</f>
        <v/>
      </c>
      <c r="D76" s="147"/>
      <c r="E76" s="146" t="str">
        <f ca="1">IFERROR(INDEX(Events!$A:$A,MATCH(E75,Events!$H:$H,0)),"")</f>
        <v/>
      </c>
      <c r="F76" s="147"/>
      <c r="G76" s="146" t="str">
        <f ca="1">IFERROR(INDEX(Events!$A:$A,MATCH(G75,Events!$H:$H,0)),"")</f>
        <v/>
      </c>
      <c r="H76" s="147"/>
      <c r="I76" s="146" t="str">
        <f ca="1">IFERROR(INDEX(Events!$A:$A,MATCH(I75,Events!$H:$H,0)),"")</f>
        <v/>
      </c>
      <c r="J76" s="147"/>
      <c r="K76" s="146" t="str">
        <f ca="1">IFERROR(INDEX(Events!$A:$A,MATCH(K75,Events!$H:$H,0)),"")</f>
        <v/>
      </c>
      <c r="L76" s="147"/>
      <c r="M76" s="146" t="str">
        <f ca="1">IFERROR(INDEX(Events!$A:$A,MATCH(M75,Events!$H:$H,0)),"")</f>
        <v/>
      </c>
      <c r="N76" s="147"/>
      <c r="O76" s="146" t="str">
        <f ca="1">IFERROR(INDEX(Events!$A:$A,MATCH(O75,Events!$H:$H,0)),"")</f>
        <v/>
      </c>
      <c r="P76" s="147"/>
      <c r="R76" s="150"/>
    </row>
    <row r="77" spans="1:18" s="54" customFormat="1" ht="10.199999999999999" customHeight="1" x14ac:dyDescent="0.2">
      <c r="A77" s="143"/>
      <c r="C77" s="146" t="str">
        <f ca="1">IFERROR(INDEX(Events!$A:$A,MATCH(C75,Events!$I:$I,0)),"")</f>
        <v/>
      </c>
      <c r="D77" s="147"/>
      <c r="E77" s="209" t="s">
        <v>121</v>
      </c>
      <c r="F77" s="173"/>
      <c r="G77" s="209" t="s">
        <v>121</v>
      </c>
      <c r="H77" s="173"/>
      <c r="I77" s="209" t="s">
        <v>121</v>
      </c>
      <c r="J77" s="173"/>
      <c r="K77" s="209" t="s">
        <v>121</v>
      </c>
      <c r="L77" s="173"/>
      <c r="M77" s="209" t="s">
        <v>121</v>
      </c>
      <c r="N77" s="173"/>
      <c r="O77" s="146" t="str">
        <f ca="1">IFERROR(INDEX(Events!$A:$A,MATCH(O75,Events!$I:$I,0)),"")</f>
        <v/>
      </c>
      <c r="P77" s="147"/>
      <c r="R77" s="150"/>
    </row>
    <row r="78" spans="1:18" s="54" customFormat="1" ht="10.199999999999999" customHeight="1" x14ac:dyDescent="0.2">
      <c r="A78" s="143"/>
      <c r="C78" s="146" t="str">
        <f ca="1">IFERROR(INDEX(Events!$A:$A,MATCH(C75,Events!$J:$J,0)),"")</f>
        <v/>
      </c>
      <c r="D78" s="147"/>
      <c r="E78" s="146" t="s">
        <v>120</v>
      </c>
      <c r="F78" s="147"/>
      <c r="G78" s="211" t="s">
        <v>120</v>
      </c>
      <c r="H78" s="177"/>
      <c r="I78" s="211" t="s">
        <v>120</v>
      </c>
      <c r="J78" s="177"/>
      <c r="K78" s="211" t="s">
        <v>120</v>
      </c>
      <c r="L78" s="177"/>
      <c r="M78" s="211" t="s">
        <v>120</v>
      </c>
      <c r="N78" s="177"/>
      <c r="O78" s="211" t="s">
        <v>120</v>
      </c>
      <c r="P78" s="177"/>
      <c r="R78" s="150"/>
    </row>
    <row r="79" spans="1:18" ht="13.2" customHeight="1" x14ac:dyDescent="0.25">
      <c r="A79" s="143"/>
      <c r="C79" s="50">
        <f>IF(O75="","",IF(MONTH(O75+1)&lt;&gt;MONTH(O75),"",O75+1))</f>
        <v>45739</v>
      </c>
      <c r="D79" s="52" t="str">
        <f>IFERROR(INDEX(Events!$A:$A,MATCH(C79,Events!$G:$G,0)),"")</f>
        <v/>
      </c>
      <c r="E79" s="50">
        <f>IF(C79="","",IF(MONTH(C79+1)&lt;&gt;MONTH(C79),"",C79+1))</f>
        <v>45740</v>
      </c>
      <c r="F79" s="98" t="s">
        <v>160</v>
      </c>
      <c r="G79" s="102">
        <f>IF(E79="","",IF(MONTH(E79+1)&lt;&gt;MONTH(E79),"",E79+1))</f>
        <v>45741</v>
      </c>
      <c r="H79" s="98" t="s">
        <v>159</v>
      </c>
      <c r="I79" s="102">
        <f>IF(G79="","",IF(MONTH(G79+1)&lt;&gt;MONTH(G79),"",G79+1))</f>
        <v>45742</v>
      </c>
      <c r="J79" s="98" t="s">
        <v>158</v>
      </c>
      <c r="K79" s="102">
        <f>IF(I79="","",IF(MONTH(I79+1)&lt;&gt;MONTH(I79),"",I79+1))</f>
        <v>45743</v>
      </c>
      <c r="L79" s="98" t="s">
        <v>157</v>
      </c>
      <c r="M79" s="102">
        <f>IF(K79="","",IF(MONTH(K79+1)&lt;&gt;MONTH(K79),"",K79+1))</f>
        <v>45744</v>
      </c>
      <c r="N79" s="98" t="s">
        <v>148</v>
      </c>
      <c r="O79" s="50">
        <f>IF(M79="","",IF(MONTH(M79+1)&lt;&gt;MONTH(M79),"",M79+1))</f>
        <v>45745</v>
      </c>
      <c r="P79" s="98" t="s">
        <v>170</v>
      </c>
      <c r="R79" s="150" t="s">
        <v>139</v>
      </c>
    </row>
    <row r="80" spans="1:18" s="54" customFormat="1" ht="10.199999999999999" customHeight="1" x14ac:dyDescent="0.2">
      <c r="A80" s="143"/>
      <c r="C80" s="146" t="str">
        <f ca="1">IFERROR(INDEX(Events!$A:$A,MATCH(C79,Events!$H:$H,0)),"")</f>
        <v/>
      </c>
      <c r="D80" s="147"/>
      <c r="E80" s="146" t="str">
        <f ca="1">IFERROR(INDEX(Events!$A:$A,MATCH(E79,Events!$H:$H,0)),"")</f>
        <v/>
      </c>
      <c r="F80" s="147"/>
      <c r="G80" s="146" t="str">
        <f ca="1">IFERROR(INDEX(Events!$A:$A,MATCH(G79,Events!$H:$H,0)),"")</f>
        <v/>
      </c>
      <c r="H80" s="147"/>
      <c r="I80" s="146" t="str">
        <f ca="1">IFERROR(INDEX(Events!$A:$A,MATCH(I79,Events!$H:$H,0)),"")</f>
        <v/>
      </c>
      <c r="J80" s="147"/>
      <c r="K80" s="146" t="str">
        <f ca="1">IFERROR(INDEX(Events!$A:$A,MATCH(K79,Events!$H:$H,0)),"")</f>
        <v/>
      </c>
      <c r="L80" s="147"/>
      <c r="M80" s="146" t="str">
        <f ca="1">IFERROR(INDEX(Events!$A:$A,MATCH(M79,Events!$H:$H,0)),"")</f>
        <v/>
      </c>
      <c r="N80" s="147"/>
      <c r="O80" s="146" t="str">
        <f ca="1">IFERROR(INDEX(Events!$A:$A,MATCH(O79,Events!$H:$H,0)),"")</f>
        <v/>
      </c>
      <c r="P80" s="147"/>
      <c r="R80" s="150"/>
    </row>
    <row r="81" spans="1:18" s="54" customFormat="1" ht="10.199999999999999" customHeight="1" x14ac:dyDescent="0.2">
      <c r="A81" s="143"/>
      <c r="C81" s="146" t="str">
        <f ca="1">IFERROR(INDEX(Events!$A:$A,MATCH(C79,Events!$I:$I,0)),"")</f>
        <v/>
      </c>
      <c r="D81" s="147"/>
      <c r="E81" s="209" t="s">
        <v>121</v>
      </c>
      <c r="F81" s="173"/>
      <c r="G81" s="209" t="s">
        <v>121</v>
      </c>
      <c r="H81" s="173"/>
      <c r="I81" s="209" t="s">
        <v>121</v>
      </c>
      <c r="J81" s="173"/>
      <c r="K81" s="209" t="s">
        <v>121</v>
      </c>
      <c r="L81" s="173"/>
      <c r="M81" s="209" t="s">
        <v>121</v>
      </c>
      <c r="N81" s="173"/>
      <c r="O81" s="209" t="s">
        <v>121</v>
      </c>
      <c r="P81" s="173"/>
      <c r="R81" s="150"/>
    </row>
    <row r="82" spans="1:18" s="54" customFormat="1" ht="10.199999999999999" customHeight="1" x14ac:dyDescent="0.2">
      <c r="A82" s="143"/>
      <c r="C82" s="180" t="str">
        <f ca="1">IFERROR(INDEX(Events!$A:$A,MATCH(C79,Events!$J:$J,0)),"")</f>
        <v/>
      </c>
      <c r="D82" s="181"/>
      <c r="E82" s="146" t="s">
        <v>120</v>
      </c>
      <c r="F82" s="147"/>
      <c r="G82" s="211" t="s">
        <v>120</v>
      </c>
      <c r="H82" s="177"/>
      <c r="I82" s="211" t="s">
        <v>120</v>
      </c>
      <c r="J82" s="177"/>
      <c r="K82" s="211" t="s">
        <v>120</v>
      </c>
      <c r="L82" s="177"/>
      <c r="M82" s="211" t="s">
        <v>120</v>
      </c>
      <c r="N82" s="177"/>
      <c r="O82" s="211" t="s">
        <v>120</v>
      </c>
      <c r="P82" s="177"/>
      <c r="R82" s="150"/>
    </row>
    <row r="83" spans="1:18" ht="13.2" customHeight="1" x14ac:dyDescent="0.25">
      <c r="A83" s="143"/>
      <c r="C83" s="50">
        <f>IF(O79="","",IF(MONTH(O79+1)&lt;&gt;MONTH(O79),"",O79+1))</f>
        <v>45746</v>
      </c>
      <c r="D83" s="52" t="str">
        <f>IFERROR(INDEX(Events!$A:$A,MATCH(C83,Events!$G:$G,0)),"")</f>
        <v/>
      </c>
      <c r="E83" s="50">
        <f>IF(C83="","",IF(MONTH(C83+1)&lt;&gt;MONTH(C83),"",C83+1))</f>
        <v>45747</v>
      </c>
      <c r="F83" s="98" t="s">
        <v>149</v>
      </c>
      <c r="G83" s="91">
        <v>1</v>
      </c>
      <c r="H83" s="92" t="s">
        <v>141</v>
      </c>
      <c r="I83" s="5"/>
      <c r="J83" s="5"/>
      <c r="K83" s="5"/>
      <c r="L83" s="5"/>
      <c r="R83" s="184" t="s">
        <v>140</v>
      </c>
    </row>
    <row r="84" spans="1:18" s="54" customFormat="1" ht="10.199999999999999" customHeight="1" x14ac:dyDescent="0.2">
      <c r="A84" s="143"/>
      <c r="C84" s="146" t="str">
        <f ca="1">IFERROR(INDEX(Events!$A:$A,MATCH(C83,Events!$H:$H,0)),"")</f>
        <v/>
      </c>
      <c r="D84" s="147"/>
      <c r="E84" s="146" t="str">
        <f ca="1">IFERROR(INDEX(Events!$A:$A,MATCH(E83,Events!$H:$H,0)),"")</f>
        <v/>
      </c>
      <c r="F84" s="147"/>
      <c r="G84" s="151" t="s">
        <v>116</v>
      </c>
      <c r="H84" s="152" t="str">
        <f>IFERROR(INDEX(Events!#REF!,MATCH(G84,Events!E:E,0)),"")</f>
        <v/>
      </c>
      <c r="I84" s="153" t="s">
        <v>181</v>
      </c>
      <c r="J84" s="154"/>
      <c r="K84" s="3"/>
      <c r="L84" s="3"/>
      <c r="R84" s="184"/>
    </row>
    <row r="85" spans="1:18" s="54" customFormat="1" ht="10.199999999999999" customHeight="1" x14ac:dyDescent="0.2">
      <c r="A85" s="143"/>
      <c r="C85" s="146" t="str">
        <f ca="1">IFERROR(INDEX(Events!$A:$A,MATCH(C83,Events!$I:$I,0)),"")</f>
        <v/>
      </c>
      <c r="D85" s="147"/>
      <c r="E85" s="209" t="s">
        <v>121</v>
      </c>
      <c r="F85" s="173"/>
      <c r="G85" s="151"/>
      <c r="H85" s="152"/>
      <c r="I85" s="3"/>
      <c r="J85" s="3"/>
      <c r="K85" s="3"/>
      <c r="L85" s="3"/>
      <c r="P85" s="60"/>
      <c r="R85" s="184"/>
    </row>
    <row r="86" spans="1:18" s="54" customFormat="1" ht="10.199999999999999" customHeight="1" x14ac:dyDescent="0.2">
      <c r="A86" s="143"/>
      <c r="C86" s="211" t="s">
        <v>120</v>
      </c>
      <c r="D86" s="177"/>
      <c r="E86" s="211" t="s">
        <v>120</v>
      </c>
      <c r="F86" s="177"/>
      <c r="G86" s="214" t="s">
        <v>123</v>
      </c>
      <c r="H86" s="215"/>
      <c r="I86" s="3"/>
      <c r="J86" s="3"/>
      <c r="K86" s="3"/>
      <c r="L86" s="3"/>
      <c r="P86" s="60"/>
      <c r="R86" s="184"/>
    </row>
  </sheetData>
  <mergeCells count="381">
    <mergeCell ref="R83:R86"/>
    <mergeCell ref="R9:R12"/>
    <mergeCell ref="R13:R16"/>
    <mergeCell ref="R17:R20"/>
    <mergeCell ref="R21:R24"/>
    <mergeCell ref="R25:R28"/>
    <mergeCell ref="R36:R39"/>
    <mergeCell ref="R40:R43"/>
    <mergeCell ref="R44:R47"/>
    <mergeCell ref="R48:R51"/>
    <mergeCell ref="O27:P27"/>
    <mergeCell ref="E35:F35"/>
    <mergeCell ref="C35:D35"/>
    <mergeCell ref="R52:R55"/>
    <mergeCell ref="R63:R66"/>
    <mergeCell ref="R67:R70"/>
    <mergeCell ref="R71:R74"/>
    <mergeCell ref="R75:R78"/>
    <mergeCell ref="R79:R82"/>
    <mergeCell ref="K35:L35"/>
    <mergeCell ref="I35:J35"/>
    <mergeCell ref="G35:H35"/>
    <mergeCell ref="C32:D32"/>
    <mergeCell ref="E32:F32"/>
    <mergeCell ref="C30:D30"/>
    <mergeCell ref="E30:F30"/>
    <mergeCell ref="C31:D31"/>
    <mergeCell ref="E31:F31"/>
    <mergeCell ref="M28:N28"/>
    <mergeCell ref="G27:H27"/>
    <mergeCell ref="I27:J27"/>
    <mergeCell ref="K27:L27"/>
    <mergeCell ref="M27:N27"/>
    <mergeCell ref="C59:D59"/>
    <mergeCell ref="C8:D8"/>
    <mergeCell ref="E8:F8"/>
    <mergeCell ref="G8:H8"/>
    <mergeCell ref="I8:J8"/>
    <mergeCell ref="K8:L8"/>
    <mergeCell ref="M8:N8"/>
    <mergeCell ref="O8:P8"/>
    <mergeCell ref="C28:D28"/>
    <mergeCell ref="E28:F28"/>
    <mergeCell ref="G28:H28"/>
    <mergeCell ref="I28:J28"/>
    <mergeCell ref="K28:L28"/>
    <mergeCell ref="M26:N26"/>
    <mergeCell ref="O26:P26"/>
    <mergeCell ref="C27:D27"/>
    <mergeCell ref="E27:F27"/>
    <mergeCell ref="O28:P28"/>
    <mergeCell ref="M23:N23"/>
    <mergeCell ref="O23:P23"/>
    <mergeCell ref="C24:D24"/>
    <mergeCell ref="E24:F24"/>
    <mergeCell ref="G24:H24"/>
    <mergeCell ref="I24:J24"/>
    <mergeCell ref="K24:L24"/>
    <mergeCell ref="M24:N24"/>
    <mergeCell ref="O24:P24"/>
    <mergeCell ref="C23:D23"/>
    <mergeCell ref="E23:F23"/>
    <mergeCell ref="G23:H23"/>
    <mergeCell ref="I23:J23"/>
    <mergeCell ref="K23:L23"/>
    <mergeCell ref="I26:J26"/>
    <mergeCell ref="K26:L26"/>
    <mergeCell ref="C26:D26"/>
    <mergeCell ref="E26:F26"/>
    <mergeCell ref="G26:H26"/>
    <mergeCell ref="M20:N20"/>
    <mergeCell ref="O20:P20"/>
    <mergeCell ref="C20:D20"/>
    <mergeCell ref="E20:F20"/>
    <mergeCell ref="G20:H20"/>
    <mergeCell ref="I20:J20"/>
    <mergeCell ref="K20:L20"/>
    <mergeCell ref="C22:D22"/>
    <mergeCell ref="E22:F22"/>
    <mergeCell ref="G22:H22"/>
    <mergeCell ref="I22:J22"/>
    <mergeCell ref="K22:L22"/>
    <mergeCell ref="M22:N22"/>
    <mergeCell ref="O22:P22"/>
    <mergeCell ref="M18:N18"/>
    <mergeCell ref="O18:P18"/>
    <mergeCell ref="C19:D19"/>
    <mergeCell ref="E19:F19"/>
    <mergeCell ref="G19:H19"/>
    <mergeCell ref="I19:J19"/>
    <mergeCell ref="K19:L19"/>
    <mergeCell ref="M19:N19"/>
    <mergeCell ref="O19:P19"/>
    <mergeCell ref="C18:D18"/>
    <mergeCell ref="E18:F18"/>
    <mergeCell ref="G18:H18"/>
    <mergeCell ref="I18:J18"/>
    <mergeCell ref="K18:L18"/>
    <mergeCell ref="C16:D16"/>
    <mergeCell ref="E16:F16"/>
    <mergeCell ref="G16:H16"/>
    <mergeCell ref="I16:J16"/>
    <mergeCell ref="K16:L16"/>
    <mergeCell ref="M16:N16"/>
    <mergeCell ref="O16:P16"/>
    <mergeCell ref="C15:D15"/>
    <mergeCell ref="E15:F15"/>
    <mergeCell ref="G15:H15"/>
    <mergeCell ref="I15:J15"/>
    <mergeCell ref="K15:L15"/>
    <mergeCell ref="M12:N12"/>
    <mergeCell ref="C14:D14"/>
    <mergeCell ref="E14:F14"/>
    <mergeCell ref="G14:H14"/>
    <mergeCell ref="I14:J14"/>
    <mergeCell ref="K14:L14"/>
    <mergeCell ref="M14:N14"/>
    <mergeCell ref="O14:P14"/>
    <mergeCell ref="M15:N15"/>
    <mergeCell ref="O15:P15"/>
    <mergeCell ref="E59:F59"/>
    <mergeCell ref="C58:D58"/>
    <mergeCell ref="E58:F58"/>
    <mergeCell ref="C10:D10"/>
    <mergeCell ref="C11:D11"/>
    <mergeCell ref="C12:D12"/>
    <mergeCell ref="O10:P10"/>
    <mergeCell ref="E11:F11"/>
    <mergeCell ref="G11:H11"/>
    <mergeCell ref="I11:J11"/>
    <mergeCell ref="K11:L11"/>
    <mergeCell ref="M11:N11"/>
    <mergeCell ref="O11:P11"/>
    <mergeCell ref="E10:F10"/>
    <mergeCell ref="G10:H10"/>
    <mergeCell ref="I10:J10"/>
    <mergeCell ref="K10:L10"/>
    <mergeCell ref="M10:N10"/>
    <mergeCell ref="O12:P12"/>
    <mergeCell ref="E12:F12"/>
    <mergeCell ref="G12:H12"/>
    <mergeCell ref="I12:J12"/>
    <mergeCell ref="K12:L12"/>
    <mergeCell ref="C51:D51"/>
    <mergeCell ref="E51:F51"/>
    <mergeCell ref="G51:H51"/>
    <mergeCell ref="I51:J51"/>
    <mergeCell ref="K51:L51"/>
    <mergeCell ref="M51:N51"/>
    <mergeCell ref="O51:P51"/>
    <mergeCell ref="O55:P55"/>
    <mergeCell ref="C55:D55"/>
    <mergeCell ref="E55:F55"/>
    <mergeCell ref="G55:H55"/>
    <mergeCell ref="I55:J55"/>
    <mergeCell ref="K55:L55"/>
    <mergeCell ref="M55:N55"/>
    <mergeCell ref="M53:N53"/>
    <mergeCell ref="O53:P53"/>
    <mergeCell ref="C54:D54"/>
    <mergeCell ref="E54:F54"/>
    <mergeCell ref="G54:H54"/>
    <mergeCell ref="I54:J54"/>
    <mergeCell ref="K54:L54"/>
    <mergeCell ref="M54:N54"/>
    <mergeCell ref="O54:P54"/>
    <mergeCell ref="I43:J43"/>
    <mergeCell ref="K43:L43"/>
    <mergeCell ref="M43:N43"/>
    <mergeCell ref="O43:P43"/>
    <mergeCell ref="O47:P47"/>
    <mergeCell ref="C47:D47"/>
    <mergeCell ref="E47:F47"/>
    <mergeCell ref="G47:H47"/>
    <mergeCell ref="I47:J47"/>
    <mergeCell ref="K47:L47"/>
    <mergeCell ref="M47:N47"/>
    <mergeCell ref="M45:N45"/>
    <mergeCell ref="O45:P45"/>
    <mergeCell ref="C46:D46"/>
    <mergeCell ref="E46:F46"/>
    <mergeCell ref="G46:H46"/>
    <mergeCell ref="I46:J46"/>
    <mergeCell ref="K46:L46"/>
    <mergeCell ref="M46:N46"/>
    <mergeCell ref="O46:P46"/>
    <mergeCell ref="O82:P82"/>
    <mergeCell ref="C82:D82"/>
    <mergeCell ref="E82:F82"/>
    <mergeCell ref="G82:H82"/>
    <mergeCell ref="I82:J82"/>
    <mergeCell ref="K82:L82"/>
    <mergeCell ref="M82:N82"/>
    <mergeCell ref="C86:D86"/>
    <mergeCell ref="E86:F86"/>
    <mergeCell ref="C84:D84"/>
    <mergeCell ref="E84:F84"/>
    <mergeCell ref="C85:D85"/>
    <mergeCell ref="E85:F85"/>
    <mergeCell ref="G84:H84"/>
    <mergeCell ref="G85:H85"/>
    <mergeCell ref="G86:H86"/>
    <mergeCell ref="I84:J84"/>
    <mergeCell ref="O80:P80"/>
    <mergeCell ref="C81:D81"/>
    <mergeCell ref="E81:F81"/>
    <mergeCell ref="G81:H81"/>
    <mergeCell ref="I81:J81"/>
    <mergeCell ref="K81:L81"/>
    <mergeCell ref="M81:N81"/>
    <mergeCell ref="O81:P81"/>
    <mergeCell ref="C80:D80"/>
    <mergeCell ref="E80:F80"/>
    <mergeCell ref="G80:H80"/>
    <mergeCell ref="I80:J80"/>
    <mergeCell ref="K80:L80"/>
    <mergeCell ref="M80:N80"/>
    <mergeCell ref="O77:P77"/>
    <mergeCell ref="C78:D78"/>
    <mergeCell ref="E78:F78"/>
    <mergeCell ref="G78:H78"/>
    <mergeCell ref="I78:J78"/>
    <mergeCell ref="K78:L78"/>
    <mergeCell ref="M78:N78"/>
    <mergeCell ref="O78:P78"/>
    <mergeCell ref="C77:D77"/>
    <mergeCell ref="E77:F77"/>
    <mergeCell ref="G77:H77"/>
    <mergeCell ref="I77:J77"/>
    <mergeCell ref="K77:L77"/>
    <mergeCell ref="M77:N77"/>
    <mergeCell ref="O74:P74"/>
    <mergeCell ref="C74:D74"/>
    <mergeCell ref="E74:F74"/>
    <mergeCell ref="G74:H74"/>
    <mergeCell ref="I74:J74"/>
    <mergeCell ref="K74:L74"/>
    <mergeCell ref="M74:N74"/>
    <mergeCell ref="C76:D76"/>
    <mergeCell ref="E76:F76"/>
    <mergeCell ref="G76:H76"/>
    <mergeCell ref="I76:J76"/>
    <mergeCell ref="K76:L76"/>
    <mergeCell ref="M76:N76"/>
    <mergeCell ref="O76:P76"/>
    <mergeCell ref="O72:P72"/>
    <mergeCell ref="C73:D73"/>
    <mergeCell ref="E73:F73"/>
    <mergeCell ref="G73:H73"/>
    <mergeCell ref="I73:J73"/>
    <mergeCell ref="K73:L73"/>
    <mergeCell ref="M73:N73"/>
    <mergeCell ref="O73:P73"/>
    <mergeCell ref="C72:D72"/>
    <mergeCell ref="E72:F72"/>
    <mergeCell ref="G72:H72"/>
    <mergeCell ref="I72:J72"/>
    <mergeCell ref="K72:L72"/>
    <mergeCell ref="M72:N72"/>
    <mergeCell ref="O69:P69"/>
    <mergeCell ref="C70:D70"/>
    <mergeCell ref="E70:F70"/>
    <mergeCell ref="G70:H70"/>
    <mergeCell ref="I70:J70"/>
    <mergeCell ref="K70:L70"/>
    <mergeCell ref="M70:N70"/>
    <mergeCell ref="O70:P70"/>
    <mergeCell ref="C69:D69"/>
    <mergeCell ref="E69:F69"/>
    <mergeCell ref="G69:H69"/>
    <mergeCell ref="I69:J69"/>
    <mergeCell ref="K69:L69"/>
    <mergeCell ref="M69:N69"/>
    <mergeCell ref="O66:P66"/>
    <mergeCell ref="C66:D66"/>
    <mergeCell ref="E66:F66"/>
    <mergeCell ref="G66:H66"/>
    <mergeCell ref="I66:J66"/>
    <mergeCell ref="K66:L66"/>
    <mergeCell ref="M66:N66"/>
    <mergeCell ref="C68:D68"/>
    <mergeCell ref="E68:F68"/>
    <mergeCell ref="G68:H68"/>
    <mergeCell ref="I68:J68"/>
    <mergeCell ref="K68:L68"/>
    <mergeCell ref="M68:N68"/>
    <mergeCell ref="O68:P68"/>
    <mergeCell ref="O64:P64"/>
    <mergeCell ref="C65:D65"/>
    <mergeCell ref="E65:F65"/>
    <mergeCell ref="G65:H65"/>
    <mergeCell ref="I65:J65"/>
    <mergeCell ref="K65:L65"/>
    <mergeCell ref="M65:N65"/>
    <mergeCell ref="O65:P65"/>
    <mergeCell ref="C64:D64"/>
    <mergeCell ref="E64:F64"/>
    <mergeCell ref="G64:H64"/>
    <mergeCell ref="I64:J64"/>
    <mergeCell ref="K64:L64"/>
    <mergeCell ref="M64:N64"/>
    <mergeCell ref="O35:P35"/>
    <mergeCell ref="M35:N35"/>
    <mergeCell ref="I31:P32"/>
    <mergeCell ref="I33:P33"/>
    <mergeCell ref="I58:P59"/>
    <mergeCell ref="I60:P60"/>
    <mergeCell ref="I5:P6"/>
    <mergeCell ref="C62:D62"/>
    <mergeCell ref="E62:F62"/>
    <mergeCell ref="G62:H62"/>
    <mergeCell ref="I62:J62"/>
    <mergeCell ref="K62:L62"/>
    <mergeCell ref="M62:N62"/>
    <mergeCell ref="O62:P62"/>
    <mergeCell ref="O39:P39"/>
    <mergeCell ref="C39:D39"/>
    <mergeCell ref="E39:F39"/>
    <mergeCell ref="G39:H39"/>
    <mergeCell ref="I39:J39"/>
    <mergeCell ref="K39:L39"/>
    <mergeCell ref="M39:N39"/>
    <mergeCell ref="C43:D43"/>
    <mergeCell ref="E43:F43"/>
    <mergeCell ref="G43:H43"/>
    <mergeCell ref="C37:D37"/>
    <mergeCell ref="E37:F37"/>
    <mergeCell ref="G37:H37"/>
    <mergeCell ref="I37:J37"/>
    <mergeCell ref="K37:L37"/>
    <mergeCell ref="M37:N37"/>
    <mergeCell ref="O37:P37"/>
    <mergeCell ref="C38:D38"/>
    <mergeCell ref="E38:F38"/>
    <mergeCell ref="G38:H38"/>
    <mergeCell ref="I38:J38"/>
    <mergeCell ref="K38:L38"/>
    <mergeCell ref="M38:N38"/>
    <mergeCell ref="O38:P38"/>
    <mergeCell ref="M41:N41"/>
    <mergeCell ref="O41:P41"/>
    <mergeCell ref="C42:D42"/>
    <mergeCell ref="E42:F42"/>
    <mergeCell ref="G42:H42"/>
    <mergeCell ref="I42:J42"/>
    <mergeCell ref="K42:L42"/>
    <mergeCell ref="M42:N42"/>
    <mergeCell ref="O42:P42"/>
    <mergeCell ref="M49:N49"/>
    <mergeCell ref="O49:P49"/>
    <mergeCell ref="C50:D50"/>
    <mergeCell ref="E50:F50"/>
    <mergeCell ref="G50:H50"/>
    <mergeCell ref="I50:J50"/>
    <mergeCell ref="K50:L50"/>
    <mergeCell ref="M50:N50"/>
    <mergeCell ref="O50:P50"/>
    <mergeCell ref="A8:A28"/>
    <mergeCell ref="A35:A55"/>
    <mergeCell ref="A62:A82"/>
    <mergeCell ref="A83:A86"/>
    <mergeCell ref="C53:D53"/>
    <mergeCell ref="E53:F53"/>
    <mergeCell ref="G53:H53"/>
    <mergeCell ref="I53:J53"/>
    <mergeCell ref="K53:L53"/>
    <mergeCell ref="C49:D49"/>
    <mergeCell ref="E49:F49"/>
    <mergeCell ref="G49:H49"/>
    <mergeCell ref="I49:J49"/>
    <mergeCell ref="K49:L49"/>
    <mergeCell ref="C45:D45"/>
    <mergeCell ref="E45:F45"/>
    <mergeCell ref="G45:H45"/>
    <mergeCell ref="I45:J45"/>
    <mergeCell ref="K45:L45"/>
    <mergeCell ref="C41:D41"/>
    <mergeCell ref="E41:F41"/>
    <mergeCell ref="G41:H41"/>
    <mergeCell ref="I41:J41"/>
    <mergeCell ref="K41:L41"/>
  </mergeCells>
  <phoneticPr fontId="0" type="noConversion"/>
  <conditionalFormatting sqref="C9 E9 G9 I9 K9 M9 O9 C13 E13 G13 I13 K13 M13 O13 C17 E17 G17 I17 K17 M17 O17 C21 E21 G21 I21 K21 M21 O21 C25 E25 G25 I25 K25 M25 O25 C29 E29">
    <cfRule type="expression" dxfId="469" priority="113">
      <formula>C9=""</formula>
    </cfRule>
  </conditionalFormatting>
  <conditionalFormatting sqref="C36 E36 G36 I36 K36 M36 O36 C40 E40 G40 I40 K40 M40 O40 C44 E44 G44 I44 K44 M44 O44 C48 E48 G48 I48 K48 M48 O48 C52 E52 G52 I52 K52 M52 O52">
    <cfRule type="expression" dxfId="468" priority="76">
      <formula>C36=""</formula>
    </cfRule>
  </conditionalFormatting>
  <conditionalFormatting sqref="C56 E56">
    <cfRule type="expression" dxfId="467" priority="48">
      <formula>C56=""</formula>
    </cfRule>
  </conditionalFormatting>
  <conditionalFormatting sqref="C63 E63 G63 I63 K63 M63 O63 C67 O67 C71 E71 G71 I71 K71 M71 O71 C75 E75 G75 I75 K75 M75 O75 C79 E79 G79 I79 K79 M79 O79 C83 E83">
    <cfRule type="expression" dxfId="466" priority="69">
      <formula>C63=""</formula>
    </cfRule>
  </conditionalFormatting>
  <conditionalFormatting sqref="C57:F57">
    <cfRule type="expression" dxfId="465" priority="46">
      <formula>C56=""</formula>
    </cfRule>
  </conditionalFormatting>
  <conditionalFormatting sqref="C58:F58">
    <cfRule type="expression" dxfId="464" priority="45">
      <formula>C56=""</formula>
    </cfRule>
  </conditionalFormatting>
  <conditionalFormatting sqref="C59:F59">
    <cfRule type="expression" dxfId="463" priority="44">
      <formula>C56=""</formula>
    </cfRule>
  </conditionalFormatting>
  <conditionalFormatting sqref="C84:H84">
    <cfRule type="expression" dxfId="462" priority="15">
      <formula>C83=""</formula>
    </cfRule>
  </conditionalFormatting>
  <conditionalFormatting sqref="C85:H85">
    <cfRule type="expression" dxfId="461" priority="14">
      <formula>C83=""</formula>
    </cfRule>
  </conditionalFormatting>
  <conditionalFormatting sqref="C86:H86">
    <cfRule type="expression" dxfId="460" priority="9">
      <formula>C83=""</formula>
    </cfRule>
  </conditionalFormatting>
  <conditionalFormatting sqref="C10:L10 O10:P10 C14:P14 C18:P18 C22:P22 C26:P26 C30:F30">
    <cfRule type="expression" dxfId="459" priority="111">
      <formula>C9=""</formula>
    </cfRule>
  </conditionalFormatting>
  <conditionalFormatting sqref="C11:P11 C15:P15 C19:P19 C23:P23 C27:P27 C31:F31">
    <cfRule type="expression" dxfId="458" priority="110">
      <formula>C9=""</formula>
    </cfRule>
  </conditionalFormatting>
  <conditionalFormatting sqref="C12:P12 C16:P16 C20:P20 C24:P24 C28:P28 C32:F32">
    <cfRule type="expression" dxfId="457" priority="109">
      <formula>C9=""</formula>
    </cfRule>
  </conditionalFormatting>
  <conditionalFormatting sqref="C37:P37 C49:P49 C53:P53">
    <cfRule type="expression" dxfId="456" priority="74">
      <formula>C36=""</formula>
    </cfRule>
  </conditionalFormatting>
  <conditionalFormatting sqref="C38:P38">
    <cfRule type="expression" dxfId="455" priority="73">
      <formula>C36=""</formula>
    </cfRule>
  </conditionalFormatting>
  <conditionalFormatting sqref="C39:P39">
    <cfRule type="expression" dxfId="454" priority="51">
      <formula>C36=""</formula>
    </cfRule>
  </conditionalFormatting>
  <conditionalFormatting sqref="C41:P41">
    <cfRule type="expression" dxfId="453" priority="8">
      <formula>C40=""</formula>
    </cfRule>
  </conditionalFormatting>
  <conditionalFormatting sqref="C42:P42">
    <cfRule type="expression" dxfId="452" priority="31">
      <formula>C40=""</formula>
    </cfRule>
  </conditionalFormatting>
  <conditionalFormatting sqref="C43:P43">
    <cfRule type="expression" dxfId="451" priority="62">
      <formula>C40=""</formula>
    </cfRule>
  </conditionalFormatting>
  <conditionalFormatting sqref="C45:P45">
    <cfRule type="expression" dxfId="450" priority="11">
      <formula>C44=""</formula>
    </cfRule>
  </conditionalFormatting>
  <conditionalFormatting sqref="C46:P46">
    <cfRule type="expression" dxfId="449" priority="30">
      <formula>C44=""</formula>
    </cfRule>
  </conditionalFormatting>
  <conditionalFormatting sqref="C47:P47">
    <cfRule type="expression" dxfId="448" priority="61">
      <formula>C44=""</formula>
    </cfRule>
  </conditionalFormatting>
  <conditionalFormatting sqref="C50:P50">
    <cfRule type="expression" dxfId="447" priority="29">
      <formula>C48=""</formula>
    </cfRule>
  </conditionalFormatting>
  <conditionalFormatting sqref="C51:P51">
    <cfRule type="expression" dxfId="446" priority="60">
      <formula>C48=""</formula>
    </cfRule>
  </conditionalFormatting>
  <conditionalFormatting sqref="C54:P54">
    <cfRule type="expression" dxfId="445" priority="26">
      <formula>C52=""</formula>
    </cfRule>
  </conditionalFormatting>
  <conditionalFormatting sqref="C55:P55">
    <cfRule type="expression" dxfId="444" priority="59">
      <formula>C52=""</formula>
    </cfRule>
  </conditionalFormatting>
  <conditionalFormatting sqref="C64:P64 C76:P76 C80:P80">
    <cfRule type="expression" dxfId="443" priority="67">
      <formula>C63=""</formula>
    </cfRule>
  </conditionalFormatting>
  <conditionalFormatting sqref="C65:P65">
    <cfRule type="expression" dxfId="442" priority="66">
      <formula>C63=""</formula>
    </cfRule>
  </conditionalFormatting>
  <conditionalFormatting sqref="C66:P66">
    <cfRule type="expression" dxfId="441" priority="52">
      <formula>C63=""</formula>
    </cfRule>
  </conditionalFormatting>
  <conditionalFormatting sqref="C68:P68">
    <cfRule type="expression" dxfId="440" priority="5">
      <formula>C67=""</formula>
    </cfRule>
  </conditionalFormatting>
  <conditionalFormatting sqref="C69:P69">
    <cfRule type="expression" dxfId="439" priority="2">
      <formula>C67=""</formula>
    </cfRule>
  </conditionalFormatting>
  <conditionalFormatting sqref="C70:P70">
    <cfRule type="expression" dxfId="438" priority="4">
      <formula>C67=""</formula>
    </cfRule>
  </conditionalFormatting>
  <conditionalFormatting sqref="C72:P72">
    <cfRule type="expression" dxfId="437" priority="10">
      <formula>C71=""</formula>
    </cfRule>
  </conditionalFormatting>
  <conditionalFormatting sqref="C73:P73">
    <cfRule type="expression" dxfId="436" priority="24">
      <formula>C71=""</formula>
    </cfRule>
  </conditionalFormatting>
  <conditionalFormatting sqref="C74:P74">
    <cfRule type="expression" dxfId="435" priority="57">
      <formula>C71=""</formula>
    </cfRule>
  </conditionalFormatting>
  <conditionalFormatting sqref="C77:P77">
    <cfRule type="expression" dxfId="434" priority="23">
      <formula>C75=""</formula>
    </cfRule>
  </conditionalFormatting>
  <conditionalFormatting sqref="C78:P78">
    <cfRule type="expression" dxfId="433" priority="54">
      <formula>C75=""</formula>
    </cfRule>
  </conditionalFormatting>
  <conditionalFormatting sqref="C81:P81">
    <cfRule type="expression" dxfId="432" priority="1">
      <formula>C79=""</formula>
    </cfRule>
  </conditionalFormatting>
  <conditionalFormatting sqref="C82:P82">
    <cfRule type="expression" dxfId="431" priority="55">
      <formula>C79=""</formula>
    </cfRule>
  </conditionalFormatting>
  <conditionalFormatting sqref="D9 F9 H9 J9 L9 N9 P9 D13 F13 H13 J13 L13 N13 P13 D17 F17 H17 J17 L17 N17 P17 D21 F21 H21 J21 L21 N21 P21 D25 F25 H25 J25 L25 N25 P25 D29 F29">
    <cfRule type="expression" dxfId="430" priority="112">
      <formula>C9=""</formula>
    </cfRule>
  </conditionalFormatting>
  <conditionalFormatting sqref="D36 F36 H36 J36 L36 N36 P36 D40 P40 D44 F44 H44 J44 L44 N44 P44 D48 F48 H48 J48 L48 N48 P48 D52 F52 H52 J52 P52">
    <cfRule type="expression" dxfId="429" priority="75">
      <formula>C36=""</formula>
    </cfRule>
  </conditionalFormatting>
  <conditionalFormatting sqref="D56 F56">
    <cfRule type="expression" dxfId="428" priority="47">
      <formula>C56=""</formula>
    </cfRule>
  </conditionalFormatting>
  <conditionalFormatting sqref="D63 F63 H63 J63 L63 N63 P63 D67 P67 D71 F71 H71 J71 L71 N71 P71 D75 F75 H75 J75 L75 N75 P75 D79 F79 H79 J79 L79 N79 P79 D83 F83">
    <cfRule type="expression" dxfId="427" priority="68">
      <formula>C63=""</formula>
    </cfRule>
  </conditionalFormatting>
  <conditionalFormatting sqref="E67">
    <cfRule type="expression" dxfId="426" priority="6">
      <formula>E67=""</formula>
    </cfRule>
  </conditionalFormatting>
  <conditionalFormatting sqref="F40">
    <cfRule type="expression" dxfId="425" priority="43">
      <formula>E40=""</formula>
    </cfRule>
  </conditionalFormatting>
  <conditionalFormatting sqref="F67">
    <cfRule type="expression" dxfId="424" priority="3">
      <formula>E67=""</formula>
    </cfRule>
  </conditionalFormatting>
  <conditionalFormatting sqref="G67 I67 K67 M67">
    <cfRule type="expression" dxfId="423" priority="38">
      <formula>G67=""</formula>
    </cfRule>
  </conditionalFormatting>
  <conditionalFormatting sqref="G83">
    <cfRule type="expression" dxfId="422" priority="50">
      <formula>G83=""</formula>
    </cfRule>
  </conditionalFormatting>
  <conditionalFormatting sqref="H40">
    <cfRule type="expression" dxfId="421" priority="42">
      <formula>G40=""</formula>
    </cfRule>
  </conditionalFormatting>
  <conditionalFormatting sqref="H67">
    <cfRule type="expression" dxfId="420" priority="36">
      <formula>G67=""</formula>
    </cfRule>
  </conditionalFormatting>
  <conditionalFormatting sqref="H83">
    <cfRule type="expression" dxfId="419" priority="32">
      <formula>G83=""</formula>
    </cfRule>
  </conditionalFormatting>
  <conditionalFormatting sqref="J40">
    <cfRule type="expression" dxfId="418" priority="41">
      <formula>I40=""</formula>
    </cfRule>
  </conditionalFormatting>
  <conditionalFormatting sqref="J67">
    <cfRule type="expression" dxfId="417" priority="35">
      <formula>I67=""</formula>
    </cfRule>
  </conditionalFormatting>
  <conditionalFormatting sqref="L40">
    <cfRule type="expression" dxfId="416" priority="40">
      <formula>K40=""</formula>
    </cfRule>
  </conditionalFormatting>
  <conditionalFormatting sqref="L52">
    <cfRule type="expression" dxfId="415" priority="13">
      <formula>K52=""</formula>
    </cfRule>
  </conditionalFormatting>
  <conditionalFormatting sqref="L67">
    <cfRule type="expression" dxfId="414" priority="34">
      <formula>K67=""</formula>
    </cfRule>
  </conditionalFormatting>
  <conditionalFormatting sqref="N40">
    <cfRule type="expression" dxfId="413" priority="39">
      <formula>M40=""</formula>
    </cfRule>
  </conditionalFormatting>
  <conditionalFormatting sqref="N52">
    <cfRule type="expression" dxfId="412" priority="12">
      <formula>M52=""</formula>
    </cfRule>
  </conditionalFormatting>
  <conditionalFormatting sqref="N67">
    <cfRule type="expression" dxfId="411" priority="33">
      <formula>M67=""</formula>
    </cfRule>
  </conditionalFormatting>
  <hyperlinks>
    <hyperlink ref="P3" r:id="rId1" display="https://www.vertex42.com/calendars/quarterly-calendar.html" xr:uid="{00000000-0004-0000-0000-000000000000}"/>
  </hyperlinks>
  <printOptions horizontalCentered="1"/>
  <pageMargins left="0.35" right="0.35" top="0.25" bottom="0.4" header="0.25" footer="0.25"/>
  <pageSetup scale="79" orientation="portrait" r:id="rId2"/>
  <ignoredErrors>
    <ignoredError sqref="E12:J12 E87:P88 E9:K9 M9 E10:J10 L10 E11:J11 M11:P11 E18:P18 E14:J14 L14 E15:J15 L15:P15 N14:P14 E16:L16 N16:P16 E21:P22 O20:P20 E26:H26 O24:P24 E29:P30 O28:P28 F19:P19 G23:P23 G27:J27 L27 N27:P27 E45:H45 O43:P43 E48:P49 O47:P47 E53:P53 O51:P51 E60:P61 O55:P55 E72:H72 O70:P70 E76:P76 O74:P74 E80:P80 E84:F84 I86:O86 F68 E66:N66 F41 E39:N39 I85:O85 I83:P83 E33:P34 F32:H32 G56:P57 E56 E75 M75 O9:P9 E13 G13 I13 K13 M13 O13 E25:K25 M25 O25:P25 E17 G17 J26:P26 E40 G40 I40 K40 M40 O40:P40 O67:P67 E64:P65 E63:O63 E83 G75 G42:P42 G46:P46 G50:P50 G54:J54 O54:P54 G69:P69 G73:P73 O77:P77 O41:P41 O68:P68 I17 K17 M17 O17:P17 E52:K52 M52 O52:P52 E79 O79 M79 K79 I79 G79 O75:P75 E44 G44 I44 K44 M44 O44:P44 E71 G71 I71 K71 M71 O71:P71 G58:H59 E31:H31 K45:P45 K72:P72 E36:P38 L12:P12 I41:L41 I68:L68 K75 I75 K84:P84 O10:P1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102"/>
  <sheetViews>
    <sheetView showGridLines="0" topLeftCell="A4" zoomScale="80" zoomScaleNormal="80" workbookViewId="0">
      <selection activeCell="M76" sqref="M76:N76"/>
    </sheetView>
  </sheetViews>
  <sheetFormatPr defaultColWidth="8.88671875" defaultRowHeight="13.2" x14ac:dyDescent="0.25"/>
  <cols>
    <col min="2" max="2" width="2.5546875" customWidth="1"/>
    <col min="3" max="3" width="4.33203125" customWidth="1"/>
    <col min="4" max="4" width="12.33203125" customWidth="1"/>
    <col min="5" max="5" width="4.33203125" customWidth="1"/>
    <col min="6" max="6" width="12.33203125" customWidth="1"/>
    <col min="7" max="7" width="4.33203125" customWidth="1"/>
    <col min="8" max="8" width="12.33203125" customWidth="1"/>
    <col min="9" max="9" width="4.33203125" customWidth="1"/>
    <col min="10" max="10" width="12.33203125" customWidth="1"/>
    <col min="11" max="11" width="4.33203125" customWidth="1"/>
    <col min="12" max="12" width="12.33203125" customWidth="1"/>
    <col min="13" max="13" width="4.33203125" customWidth="1"/>
    <col min="14" max="14" width="12.33203125" customWidth="1"/>
    <col min="15" max="15" width="4.33203125" customWidth="1"/>
    <col min="16" max="16" width="12.33203125" customWidth="1"/>
    <col min="17" max="17" width="3.5546875" customWidth="1"/>
    <col min="18" max="18" width="8.88671875" style="100"/>
  </cols>
  <sheetData>
    <row r="1" spans="1:18" hidden="1" x14ac:dyDescent="0.25">
      <c r="C1" s="4"/>
      <c r="D1" s="4"/>
      <c r="E1" s="4"/>
      <c r="F1" s="4"/>
      <c r="G1" s="4"/>
      <c r="H1" s="4"/>
      <c r="I1" s="4"/>
      <c r="J1" s="4"/>
      <c r="K1" s="4"/>
      <c r="L1" s="4"/>
      <c r="M1" s="4"/>
      <c r="N1" s="4"/>
      <c r="O1" s="4"/>
      <c r="P1" s="49"/>
    </row>
    <row r="2" spans="1:18" hidden="1" x14ac:dyDescent="0.25">
      <c r="C2" s="4"/>
      <c r="D2" s="4"/>
      <c r="E2" s="4"/>
      <c r="F2" s="4"/>
      <c r="G2" s="4"/>
      <c r="H2" s="4"/>
      <c r="I2" s="4"/>
      <c r="J2" s="4"/>
      <c r="K2" s="4"/>
      <c r="L2" s="4"/>
      <c r="M2" s="4"/>
      <c r="N2" s="4"/>
      <c r="O2" s="4"/>
      <c r="P2" s="49"/>
    </row>
    <row r="3" spans="1:18" hidden="1" x14ac:dyDescent="0.25">
      <c r="C3" s="4"/>
      <c r="D3" s="4"/>
      <c r="E3" s="4"/>
      <c r="F3" s="4"/>
      <c r="G3" s="4"/>
      <c r="H3" s="4"/>
      <c r="I3" s="4"/>
      <c r="J3" s="4"/>
      <c r="K3" s="4"/>
      <c r="L3" s="4"/>
      <c r="M3" s="4"/>
      <c r="N3" s="4"/>
      <c r="O3" s="4"/>
      <c r="P3" s="49"/>
    </row>
    <row r="4" spans="1:18" ht="13.2" customHeight="1" x14ac:dyDescent="0.25"/>
    <row r="5" spans="1:18" ht="23.4" customHeight="1" x14ac:dyDescent="0.25">
      <c r="C5" s="106" t="s">
        <v>122</v>
      </c>
      <c r="I5" s="142">
        <f>D7</f>
        <v>45839</v>
      </c>
      <c r="J5" s="142"/>
      <c r="K5" s="142"/>
      <c r="L5" s="142"/>
      <c r="M5" s="142"/>
      <c r="N5" s="142"/>
      <c r="O5" s="142"/>
      <c r="P5" s="142"/>
    </row>
    <row r="6" spans="1:18" ht="13.2" customHeight="1" x14ac:dyDescent="0.25">
      <c r="D6" s="57"/>
      <c r="E6" s="57"/>
      <c r="F6" s="57"/>
      <c r="G6" s="57"/>
      <c r="H6" s="57"/>
      <c r="I6" s="142"/>
      <c r="J6" s="142"/>
      <c r="K6" s="142"/>
      <c r="L6" s="142"/>
      <c r="M6" s="142"/>
      <c r="N6" s="142"/>
      <c r="O6" s="142"/>
      <c r="P6" s="142"/>
    </row>
    <row r="7" spans="1:18" s="1" customFormat="1" ht="10.199999999999999" hidden="1" x14ac:dyDescent="0.2">
      <c r="C7" s="1" t="s">
        <v>1</v>
      </c>
      <c r="D7" s="6">
        <f>DATE(YEAR('Q1'!$D$7),MONTH('Q1'!$D$7)+6,1)</f>
        <v>45839</v>
      </c>
      <c r="R7" s="101"/>
    </row>
    <row r="8" spans="1:18" s="2" customFormat="1" ht="18" customHeight="1" x14ac:dyDescent="0.25">
      <c r="A8" s="143">
        <f>D7</f>
        <v>45839</v>
      </c>
      <c r="C8" s="144" t="s">
        <v>109</v>
      </c>
      <c r="D8" s="145"/>
      <c r="E8" s="144" t="s">
        <v>110</v>
      </c>
      <c r="F8" s="145"/>
      <c r="G8" s="144" t="s">
        <v>111</v>
      </c>
      <c r="H8" s="145"/>
      <c r="I8" s="144" t="s">
        <v>112</v>
      </c>
      <c r="J8" s="145"/>
      <c r="K8" s="144" t="s">
        <v>113</v>
      </c>
      <c r="L8" s="145"/>
      <c r="M8" s="144" t="s">
        <v>114</v>
      </c>
      <c r="N8" s="145"/>
      <c r="O8" s="144" t="s">
        <v>115</v>
      </c>
      <c r="P8" s="145"/>
      <c r="R8" s="96" t="s">
        <v>132</v>
      </c>
    </row>
    <row r="9" spans="1:18" s="2" customFormat="1" x14ac:dyDescent="0.25">
      <c r="A9" s="143"/>
      <c r="C9" s="50" t="str">
        <f>IF(WEEKDAY($D$7,1)=startday,$D$7,"")</f>
        <v/>
      </c>
      <c r="D9" s="52" t="str">
        <f>IFERROR(INDEX(Events!$A:$A,MATCH(C9,Events!$G:$G,0)),"")</f>
        <v/>
      </c>
      <c r="E9" s="50" t="str">
        <f>IF(C9="",IF(WEEKDAY($D$7,1)=MOD(startday,7)+1,$D$7,""),C9+1)</f>
        <v/>
      </c>
      <c r="F9" s="52" t="str">
        <f>IFERROR(INDEX(Events!$A:$A,MATCH(E9,Events!$G:$G,0)),"")</f>
        <v/>
      </c>
      <c r="G9" s="91">
        <f>IF(E9="",IF(WEEKDAY($D$7,1)=MOD(startday+1,7)+1,$D$7,""),E9+1)</f>
        <v>45839</v>
      </c>
      <c r="H9" s="92" t="s">
        <v>141</v>
      </c>
      <c r="I9" s="50">
        <f>IF(G9="",IF(WEEKDAY($D$7,1)=MOD(startday+2,7)+1,$D$7,""),G9+1)</f>
        <v>45840</v>
      </c>
      <c r="J9" s="97" t="s">
        <v>142</v>
      </c>
      <c r="K9" s="50">
        <f>IF(I9="",IF(WEEKDAY($D$7,1)=MOD(startday+3,7)+1,$D$7,""),I9+1)</f>
        <v>45841</v>
      </c>
      <c r="L9" s="97" t="s">
        <v>143</v>
      </c>
      <c r="M9" s="50">
        <f>IF(K9="",IF(WEEKDAY($D$7,1)=MOD(startday+4,7)+1,$D$7,""),K9+1)</f>
        <v>45842</v>
      </c>
      <c r="N9" s="113" t="s">
        <v>178</v>
      </c>
      <c r="O9" s="50">
        <f>IF(M9="",IF(WEEKDAY($D$7,1)=MOD(startday+5,7)+1,$D$7,""),M9+1)</f>
        <v>45843</v>
      </c>
      <c r="P9" s="52" t="str">
        <f>IFERROR(INDEX(Events!$A:$A,MATCH(O9,Events!$G:$G,0)),"")</f>
        <v/>
      </c>
      <c r="R9" s="150" t="s">
        <v>124</v>
      </c>
    </row>
    <row r="10" spans="1:18" s="2" customFormat="1" x14ac:dyDescent="0.25">
      <c r="A10" s="143"/>
      <c r="C10" s="104"/>
      <c r="D10" s="105"/>
      <c r="E10" s="104"/>
      <c r="F10" s="105"/>
      <c r="G10" s="151" t="s">
        <v>116</v>
      </c>
      <c r="H10" s="152" t="str">
        <f>IFERROR(INDEX(Events!#REF!,MATCH(G10,Events!E:E,0)),"")</f>
        <v/>
      </c>
      <c r="I10" s="153" t="s">
        <v>181</v>
      </c>
      <c r="J10" s="154"/>
      <c r="K10" s="153" t="s">
        <v>176</v>
      </c>
      <c r="L10" s="154"/>
      <c r="M10" s="153" t="s">
        <v>176</v>
      </c>
      <c r="N10" s="154"/>
      <c r="O10" s="146" t="str">
        <f ca="1">IFERROR(INDEX(Events!$A:$A,MATCH(O8,Events!$H:$H,0)),"")</f>
        <v/>
      </c>
      <c r="P10" s="147" t="str">
        <f ca="1">IFERROR(INDEX(Events!G:G,MATCH(O10,Events!K:K,0)),"")</f>
        <v/>
      </c>
      <c r="R10" s="150"/>
    </row>
    <row r="11" spans="1:18" s="53" customFormat="1" ht="10.199999999999999" x14ac:dyDescent="0.25">
      <c r="A11" s="143"/>
      <c r="C11" s="146" t="str">
        <f ca="1">IFERROR(INDEX(Events!$A:$A,MATCH(C9,Events!$H:$H,0)),"")</f>
        <v/>
      </c>
      <c r="D11" s="147" t="str">
        <f ca="1">IFERROR(INDEX(Events!#REF!,MATCH(C11,Events!A:A,0)),"")</f>
        <v/>
      </c>
      <c r="E11" s="146" t="str">
        <f ca="1">IFERROR(INDEX(Events!$A:$A,MATCH(E9,Events!$H:$H,0)),"")</f>
        <v/>
      </c>
      <c r="F11" s="147" t="str">
        <f ca="1">IFERROR(INDEX(Events!#REF!,MATCH(E11,Events!C:C,0)),"")</f>
        <v/>
      </c>
      <c r="G11" s="221" t="s">
        <v>177</v>
      </c>
      <c r="H11" s="170"/>
      <c r="I11" s="146" t="str">
        <f ca="1">IFERROR(INDEX(Events!$A:$A,MATCH(I9,Events!$H:$H,0)),"")</f>
        <v/>
      </c>
      <c r="J11" s="147" t="str">
        <f ca="1">IFERROR(INDEX(Events!A:A,MATCH(I11,Events!G:G,0)),"")</f>
        <v/>
      </c>
      <c r="K11" s="146" t="str">
        <f ca="1">IFERROR(INDEX(Events!$A:$A,MATCH(K9,Events!$H:$H,0)),"")</f>
        <v/>
      </c>
      <c r="L11" s="147" t="str">
        <f ca="1">IFERROR(INDEX(Events!C:C,MATCH(K11,Events!I:I,0)),"")</f>
        <v/>
      </c>
      <c r="M11" s="146" t="str">
        <f ca="1">IFERROR(INDEX(Events!$A:$A,MATCH(M9,Events!$H:$H,0)),"")</f>
        <v/>
      </c>
      <c r="N11" s="147" t="str">
        <f ca="1">IFERROR(INDEX(Events!E:E,MATCH(M11,Events!#REF!,0)),"")</f>
        <v/>
      </c>
      <c r="O11" s="146" t="str">
        <f ca="1">IFERROR(INDEX(Events!$A:$A,MATCH(O9,Events!$H:$H,0)),"")</f>
        <v/>
      </c>
      <c r="P11" s="147" t="str">
        <f ca="1">IFERROR(INDEX(Events!G:G,MATCH(O11,Events!K:K,0)),"")</f>
        <v/>
      </c>
      <c r="R11" s="150"/>
    </row>
    <row r="12" spans="1:18" s="53" customFormat="1" ht="10.199999999999999" x14ac:dyDescent="0.25">
      <c r="A12" s="143"/>
      <c r="C12" s="146" t="str">
        <f ca="1">IFERROR(INDEX(Events!$A:$A,MATCH(C9,Events!$I:$I,0)),"")</f>
        <v/>
      </c>
      <c r="D12" s="147"/>
      <c r="E12" s="146" t="str">
        <f ca="1">IFERROR(INDEX(Events!$A:$A,MATCH(E9,Events!$I:$I,0)),"")</f>
        <v/>
      </c>
      <c r="F12" s="147"/>
      <c r="G12" s="151"/>
      <c r="H12" s="152"/>
      <c r="I12" s="146" t="str">
        <f ca="1">IFERROR(INDEX(Events!$A:$A,MATCH(I9,Events!$I:$I,0)),"")</f>
        <v/>
      </c>
      <c r="J12" s="147"/>
      <c r="K12" s="146" t="str">
        <f ca="1">IFERROR(INDEX(Events!$A:$A,MATCH(K9,Events!$I:$I,0)),"")</f>
        <v/>
      </c>
      <c r="L12" s="147"/>
      <c r="M12" s="146" t="str">
        <f ca="1">IFERROR(INDEX(Events!$A:$A,MATCH(M9,Events!$I:$I,0)),"")</f>
        <v/>
      </c>
      <c r="N12" s="147"/>
      <c r="O12" s="146" t="str">
        <f ca="1">IFERROR(INDEX(Events!$A:$A,MATCH(O9,Events!$I:$I,0)),"")</f>
        <v/>
      </c>
      <c r="P12" s="147"/>
      <c r="R12" s="150"/>
    </row>
    <row r="13" spans="1:18" s="53" customFormat="1" ht="10.199999999999999" x14ac:dyDescent="0.25">
      <c r="A13" s="143"/>
      <c r="C13" s="146" t="str">
        <f ca="1">IFERROR(INDEX(Events!$A:$A,MATCH(C9,Events!$J:$J,0)),"")</f>
        <v/>
      </c>
      <c r="D13" s="147"/>
      <c r="E13" s="146" t="str">
        <f ca="1">IFERROR(INDEX(Events!$A:$A,MATCH(E9,Events!$J:$J,0)),"")</f>
        <v/>
      </c>
      <c r="F13" s="147"/>
      <c r="G13" s="151" t="s">
        <v>123</v>
      </c>
      <c r="H13" s="152"/>
      <c r="I13" s="146" t="str">
        <f ca="1">IFERROR(INDEX(Events!$A:$A,MATCH(I9,Events!$J:$J,0)),"")</f>
        <v/>
      </c>
      <c r="J13" s="147"/>
      <c r="K13" s="146" t="str">
        <f ca="1">IFERROR(INDEX(Events!$A:$A,MATCH(K9,Events!$J:$J,0)),"")</f>
        <v/>
      </c>
      <c r="L13" s="147"/>
      <c r="M13" s="146" t="str">
        <f ca="1">IFERROR(INDEX(Events!$A:$A,MATCH(M9,Events!$J:$J,0)),"")</f>
        <v/>
      </c>
      <c r="N13" s="147"/>
      <c r="O13" s="146" t="str">
        <f ca="1">IFERROR(INDEX(Events!$A:$A,MATCH(O9,Events!$J:$J,0)),"")</f>
        <v/>
      </c>
      <c r="P13" s="147"/>
      <c r="R13" s="150"/>
    </row>
    <row r="14" spans="1:18" s="2" customFormat="1" x14ac:dyDescent="0.25">
      <c r="A14" s="143"/>
      <c r="C14" s="50">
        <f>IF(O9="","",IF(MONTH(O9+1)&lt;&gt;MONTH(O9),"",O9+1))</f>
        <v>45844</v>
      </c>
      <c r="D14" s="52" t="str">
        <f>IFERROR(INDEX(Events!$A:$A,MATCH(C14,Events!$G:$G,0)),"")</f>
        <v/>
      </c>
      <c r="E14" s="50">
        <f>IF(C14="","",IF(MONTH(C14+1)&lt;&gt;MONTH(C14),"",C14+1))</f>
        <v>45845</v>
      </c>
      <c r="F14" s="97" t="s">
        <v>144</v>
      </c>
      <c r="G14" s="50">
        <f>IF(E14="","",IF(MONTH(E14+1)&lt;&gt;MONTH(E14),"",E14+1))</f>
        <v>45846</v>
      </c>
      <c r="H14" s="97" t="s">
        <v>145</v>
      </c>
      <c r="I14" s="50">
        <f>IF(G14="","",IF(MONTH(G14+1)&lt;&gt;MONTH(G14),"",G14+1))</f>
        <v>45847</v>
      </c>
      <c r="J14" s="119" t="s">
        <v>146</v>
      </c>
      <c r="K14" s="115">
        <f>IF(I14="","",IF(MONTH(I14+1)&lt;&gt;MONTH(I14),"",I14+1))</f>
        <v>45848</v>
      </c>
      <c r="L14" s="120" t="s">
        <v>147</v>
      </c>
      <c r="M14" s="114">
        <f>IF(K14="","",IF(MONTH(K14+1)&lt;&gt;MONTH(K14),"",K14+1))</f>
        <v>45849</v>
      </c>
      <c r="N14" s="97" t="s">
        <v>151</v>
      </c>
      <c r="O14" s="50">
        <f>IF(M14="","",IF(MONTH(M14+1)&lt;&gt;MONTH(M14),"",M14+1))</f>
        <v>45850</v>
      </c>
      <c r="P14" s="52" t="str">
        <f>IFERROR(INDEX(Events!$A:$A,MATCH(O14,Events!$G:$G,0)),"")</f>
        <v/>
      </c>
      <c r="R14" s="150" t="s">
        <v>125</v>
      </c>
    </row>
    <row r="15" spans="1:18" s="2" customFormat="1" x14ac:dyDescent="0.25">
      <c r="A15" s="143"/>
      <c r="C15" s="153" t="s">
        <v>176</v>
      </c>
      <c r="D15" s="154"/>
      <c r="E15" s="153" t="s">
        <v>176</v>
      </c>
      <c r="F15" s="154"/>
      <c r="G15" s="153" t="s">
        <v>176</v>
      </c>
      <c r="H15" s="154"/>
      <c r="I15" s="155" t="s">
        <v>177</v>
      </c>
      <c r="J15" s="155"/>
      <c r="K15" s="156" t="s">
        <v>177</v>
      </c>
      <c r="L15" s="157"/>
      <c r="M15" s="155" t="s">
        <v>177</v>
      </c>
      <c r="N15" s="155"/>
      <c r="O15" s="146" t="str">
        <f ca="1">IFERROR(INDEX(Events!$A:$A,MATCH(O14,Events!$H:$H,0)),"")</f>
        <v/>
      </c>
      <c r="P15" s="147"/>
      <c r="R15" s="150"/>
    </row>
    <row r="16" spans="1:18" s="53" customFormat="1" ht="10.199999999999999" x14ac:dyDescent="0.25">
      <c r="A16" s="143"/>
      <c r="C16" s="146" t="str">
        <f ca="1">IFERROR(INDEX(Events!$A:$A,MATCH(C14,Events!$I:$I,0)),"")</f>
        <v/>
      </c>
      <c r="D16" s="147"/>
      <c r="E16" s="146" t="str">
        <f ca="1">IFERROR(INDEX(Events!$A:$A,MATCH(E14,Events!$I:$I,0)),"")</f>
        <v/>
      </c>
      <c r="F16" s="147"/>
      <c r="G16" s="146" t="str">
        <f ca="1">IFERROR(INDEX(Events!$A:$A,MATCH(G14,Events!$H:$H,0)),"")</f>
        <v/>
      </c>
      <c r="H16" s="147" t="str">
        <f ca="1">IFERROR(INDEX(Events!#REF!,MATCH(G16,Events!E:E,0)),"")</f>
        <v/>
      </c>
      <c r="I16" s="158" t="s">
        <v>117</v>
      </c>
      <c r="J16" s="159" t="str">
        <f>IFERROR(INDEX(Events!#REF!,MATCH(I16,Events!G:G,0)),"")</f>
        <v/>
      </c>
      <c r="K16" s="160" t="s">
        <v>121</v>
      </c>
      <c r="L16" s="161"/>
      <c r="M16" s="162" t="s">
        <v>121</v>
      </c>
      <c r="N16" s="162"/>
      <c r="O16" s="146" t="str">
        <f ca="1">IFERROR(INDEX(Events!$A:$A,MATCH(O14,Events!$H:$H,0)),"")</f>
        <v/>
      </c>
      <c r="P16" s="147" t="str">
        <f ca="1">IFERROR(INDEX(Events!G:G,MATCH(O16,Events!K:K,0)),"")</f>
        <v/>
      </c>
      <c r="R16" s="150"/>
    </row>
    <row r="17" spans="1:18" s="53" customFormat="1" ht="10.199999999999999" x14ac:dyDescent="0.25">
      <c r="A17" s="143"/>
      <c r="C17" s="146" t="str">
        <f ca="1">IFERROR(INDEX(Events!$A:$A,MATCH(C15,Events!$I:$I,0)),"")</f>
        <v/>
      </c>
      <c r="D17" s="147"/>
      <c r="E17" s="146" t="str">
        <f ca="1">IFERROR(INDEX(Events!$A:$A,MATCH(E15,Events!$I:$I,0)),"")</f>
        <v/>
      </c>
      <c r="F17" s="147"/>
      <c r="G17" s="146" t="str">
        <f ca="1">IFERROR(INDEX(Events!$A:$A,MATCH(G15,Events!$I:$I,0)),"")</f>
        <v/>
      </c>
      <c r="H17" s="147"/>
      <c r="I17" s="158" t="s">
        <v>118</v>
      </c>
      <c r="J17" s="159"/>
      <c r="K17" s="163" t="s">
        <v>120</v>
      </c>
      <c r="L17" s="164"/>
      <c r="M17" s="165" t="s">
        <v>120</v>
      </c>
      <c r="N17" s="165"/>
      <c r="O17" s="146" t="str">
        <f ca="1">IFERROR(INDEX(Events!$A:$A,MATCH(O14,Events!$I:$I,0)),"")</f>
        <v/>
      </c>
      <c r="P17" s="147"/>
      <c r="R17" s="150"/>
    </row>
    <row r="18" spans="1:18" s="53" customFormat="1" ht="10.199999999999999" x14ac:dyDescent="0.25">
      <c r="A18" s="143"/>
      <c r="C18" s="146" t="str">
        <f ca="1">IFERROR(INDEX(Events!$A:$A,MATCH(C14,Events!$J:$J,0)),"")</f>
        <v/>
      </c>
      <c r="D18" s="147"/>
      <c r="E18" s="146" t="str">
        <f ca="1">IFERROR(INDEX(Events!$A:$A,MATCH(E14,Events!$J:$J,0)),"")</f>
        <v/>
      </c>
      <c r="F18" s="147"/>
      <c r="G18" s="146" t="str">
        <f ca="1">IFERROR(INDEX(Events!$A:$A,MATCH(G14,Events!$J:$J,0)),"")</f>
        <v/>
      </c>
      <c r="H18" s="147"/>
      <c r="I18" s="146" t="str">
        <f ca="1">IFERROR(INDEX(Events!$A:$A,MATCH(I14,Events!$J:$J,0)),"")</f>
        <v/>
      </c>
      <c r="J18" s="165"/>
      <c r="K18" s="174" t="str">
        <f ca="1">IFERROR(INDEX(Events!$A:$A,MATCH(K14,Events!$J:$J,0)),"")</f>
        <v/>
      </c>
      <c r="L18" s="176"/>
      <c r="M18" s="166" t="s">
        <v>119</v>
      </c>
      <c r="N18" s="167" t="str">
        <f>IFERROR(INDEX([1]Events!E:E,MATCH(M18,[1]Events!#REF!,0)),"")</f>
        <v/>
      </c>
      <c r="O18" s="146" t="str">
        <f ca="1">IFERROR(INDEX(Events!$A:$A,MATCH(O14,Events!$J:$J,0)),"")</f>
        <v/>
      </c>
      <c r="P18" s="147"/>
      <c r="R18" s="150"/>
    </row>
    <row r="19" spans="1:18" s="2" customFormat="1" x14ac:dyDescent="0.25">
      <c r="A19" s="143"/>
      <c r="C19" s="50">
        <f>IF(O14="","",IF(MONTH(O14+1)&lt;&gt;MONTH(O14),"",O14+1))</f>
        <v>45851</v>
      </c>
      <c r="D19" s="52" t="str">
        <f>IFERROR(INDEX(Events!$A:$A,MATCH(C19,Events!$G:$G,0)),"")</f>
        <v/>
      </c>
      <c r="E19" s="50">
        <f>IF(C19="","",IF(MONTH(C19+1)&lt;&gt;MONTH(C19),"",C19+1))</f>
        <v>45852</v>
      </c>
      <c r="F19" s="52" t="str">
        <f>IFERROR(INDEX(Events!$A:$A,MATCH(E19,Events!$G:$G,0)),"")</f>
        <v/>
      </c>
      <c r="G19" s="50">
        <f>IF(E19="","",IF(MONTH(E19+1)&lt;&gt;MONTH(E19),"",E19+1))</f>
        <v>45853</v>
      </c>
      <c r="H19" s="52" t="str">
        <f>IFERROR(INDEX(Events!$A:$A,MATCH(G19,Events!$G:$G,0)),"")</f>
        <v/>
      </c>
      <c r="I19" s="50">
        <f>IF(G19="","",IF(MONTH(G19+1)&lt;&gt;MONTH(G19),"",G19+1))</f>
        <v>45854</v>
      </c>
      <c r="J19" s="52" t="str">
        <f>IFERROR(INDEX(Events!$A:$A,MATCH(I19,Events!$G:$G,0)),"")</f>
        <v/>
      </c>
      <c r="K19" s="50">
        <f>IF(I19="","",IF(MONTH(I19+1)&lt;&gt;MONTH(I19),"",I19+1))</f>
        <v>45855</v>
      </c>
      <c r="L19" s="52" t="str">
        <f>IFERROR(INDEX(Events!$A:$A,MATCH(K19,Events!$G:$G,0)),"")</f>
        <v/>
      </c>
      <c r="M19" s="50">
        <f>IF(K19="","",IF(MONTH(K19+1)&lt;&gt;MONTH(K19),"",K19+1))</f>
        <v>45856</v>
      </c>
      <c r="N19" s="52" t="str">
        <f>IFERROR(INDEX(Events!$A:$A,MATCH(M19,Events!$G:$G,0)),"")</f>
        <v/>
      </c>
      <c r="O19" s="50">
        <f>IF(M19="","",IF(MONTH(M19+1)&lt;&gt;MONTH(M19),"",M19+1))</f>
        <v>45857</v>
      </c>
      <c r="P19" s="52" t="str">
        <f>IFERROR(INDEX(Events!$A:$A,MATCH(O19,Events!$G:$G,0)),"")</f>
        <v/>
      </c>
      <c r="R19" s="150" t="s">
        <v>126</v>
      </c>
    </row>
    <row r="20" spans="1:18" s="2" customFormat="1" x14ac:dyDescent="0.25">
      <c r="A20" s="143"/>
      <c r="C20" s="168"/>
      <c r="D20" s="169"/>
      <c r="E20" s="156" t="s">
        <v>177</v>
      </c>
      <c r="F20" s="157"/>
      <c r="G20" s="155" t="s">
        <v>177</v>
      </c>
      <c r="H20" s="155"/>
      <c r="I20" s="156" t="s">
        <v>177</v>
      </c>
      <c r="J20" s="157"/>
      <c r="K20" s="155" t="s">
        <v>177</v>
      </c>
      <c r="L20" s="155"/>
      <c r="M20" s="155" t="s">
        <v>177</v>
      </c>
      <c r="N20" s="155"/>
      <c r="O20" s="146" t="str">
        <f ca="1">IFERROR(INDEX(Events!$A:$A,MATCH(O19,Events!$H:$H,0)),"")</f>
        <v/>
      </c>
      <c r="P20" s="147"/>
      <c r="R20" s="150"/>
    </row>
    <row r="21" spans="1:18" s="53" customFormat="1" ht="10.199999999999999" x14ac:dyDescent="0.25">
      <c r="A21" s="143"/>
      <c r="C21" s="171"/>
      <c r="D21" s="172"/>
      <c r="E21" s="160" t="s">
        <v>121</v>
      </c>
      <c r="F21" s="161"/>
      <c r="G21" s="162" t="s">
        <v>121</v>
      </c>
      <c r="H21" s="162"/>
      <c r="I21" s="160" t="s">
        <v>121</v>
      </c>
      <c r="J21" s="161"/>
      <c r="K21" s="162" t="s">
        <v>121</v>
      </c>
      <c r="L21" s="162"/>
      <c r="M21" s="162" t="s">
        <v>121</v>
      </c>
      <c r="N21" s="162"/>
      <c r="O21" s="146" t="str">
        <f ca="1">IFERROR(INDEX(Events!$A:$A,MATCH(O19,Events!$H:$H,0)),"")</f>
        <v/>
      </c>
      <c r="P21" s="147" t="str">
        <f ca="1">IFERROR(INDEX(Events!G:G,MATCH(O21,Events!K:K,0)),"")</f>
        <v/>
      </c>
      <c r="R21" s="150"/>
    </row>
    <row r="22" spans="1:18" s="53" customFormat="1" ht="10.199999999999999" x14ac:dyDescent="0.25">
      <c r="A22" s="143"/>
      <c r="C22" s="171"/>
      <c r="D22" s="172"/>
      <c r="E22" s="163" t="s">
        <v>120</v>
      </c>
      <c r="F22" s="164"/>
      <c r="G22" s="165" t="s">
        <v>120</v>
      </c>
      <c r="H22" s="165"/>
      <c r="I22" s="163" t="s">
        <v>120</v>
      </c>
      <c r="J22" s="164"/>
      <c r="K22" s="165" t="s">
        <v>120</v>
      </c>
      <c r="L22" s="165"/>
      <c r="M22" s="165" t="s">
        <v>120</v>
      </c>
      <c r="N22" s="165"/>
      <c r="O22" s="146" t="str">
        <f ca="1">IFERROR(INDEX(Events!$A:$A,MATCH(O19,Events!$I:$I,0)),"")</f>
        <v/>
      </c>
      <c r="P22" s="147"/>
      <c r="R22" s="150"/>
    </row>
    <row r="23" spans="1:18" s="53" customFormat="1" ht="10.199999999999999" x14ac:dyDescent="0.25">
      <c r="A23" s="143"/>
      <c r="C23" s="174" t="str">
        <f ca="1">IFERROR(INDEX(Events!$A:$A,MATCH(C19,Events!$J:$J,0)),"")</f>
        <v/>
      </c>
      <c r="D23" s="175"/>
      <c r="E23" s="174" t="str">
        <f ca="1">IFERROR(INDEX(Events!$A:$A,MATCH(E19,Events!$J:$J,0)),"")</f>
        <v/>
      </c>
      <c r="F23" s="176"/>
      <c r="G23" s="175" t="str">
        <f ca="1">IFERROR(INDEX(Events!$A:$A,MATCH(G19,Events!$J:$J,0)),"")</f>
        <v/>
      </c>
      <c r="H23" s="175"/>
      <c r="I23" s="174" t="str">
        <f ca="1">IFERROR(INDEX(Events!$A:$A,MATCH(I19,Events!$J:$J,0)),"")</f>
        <v/>
      </c>
      <c r="J23" s="176"/>
      <c r="K23" s="175" t="str">
        <f ca="1">IFERROR(INDEX(Events!$A:$A,MATCH(K19,Events!$J:$J,0)),"")</f>
        <v/>
      </c>
      <c r="L23" s="175"/>
      <c r="M23" s="175" t="str">
        <f ca="1">IFERROR(INDEX(Events!$A:$A,MATCH(M19,Events!$J:$J,0)),"")</f>
        <v/>
      </c>
      <c r="N23" s="175"/>
      <c r="O23" s="146" t="str">
        <f ca="1">IFERROR(INDEX(Events!$A:$A,MATCH(O19,Events!$J:$J,0)),"")</f>
        <v/>
      </c>
      <c r="P23" s="147"/>
      <c r="R23" s="150"/>
    </row>
    <row r="24" spans="1:18" s="2" customFormat="1" x14ac:dyDescent="0.25">
      <c r="A24" s="143"/>
      <c r="C24" s="50">
        <f>IF(O19="","",IF(MONTH(O19+1)&lt;&gt;MONTH(O19),"",O19+1))</f>
        <v>45858</v>
      </c>
      <c r="D24" s="52" t="str">
        <f>IFERROR(INDEX(Events!$A:$A,MATCH(C24,Events!$G:$G,0)),"")</f>
        <v/>
      </c>
      <c r="E24" s="50">
        <f>IF(C24="","",IF(MONTH(C24+1)&lt;&gt;MONTH(C24),"",C24+1))</f>
        <v>45859</v>
      </c>
      <c r="F24" s="52" t="str">
        <f>IFERROR(INDEX(Events!$A:$A,MATCH(E24,Events!$G:$G,0)),"")</f>
        <v/>
      </c>
      <c r="G24" s="50">
        <f>IF(E24="","",IF(MONTH(E24+1)&lt;&gt;MONTH(E24),"",E24+1))</f>
        <v>45860</v>
      </c>
      <c r="H24" s="52" t="str">
        <f>IFERROR(INDEX(Events!$A:$A,MATCH(G24,Events!$G:$G,0)),"")</f>
        <v/>
      </c>
      <c r="I24" s="50">
        <f>IF(G24="","",IF(MONTH(G24+1)&lt;&gt;MONTH(G24),"",G24+1))</f>
        <v>45861</v>
      </c>
      <c r="J24" s="121" t="str">
        <f>IFERROR(INDEX(Events!$A:$A,MATCH(I24,Events!$G:$G,0)),"")</f>
        <v/>
      </c>
      <c r="K24" s="115">
        <f>IF(I24="","",IF(MONTH(I24+1)&lt;&gt;MONTH(I24),"",I24+1))</f>
        <v>45862</v>
      </c>
      <c r="L24" s="116" t="str">
        <f>IFERROR(INDEX(Events!$A:$A,MATCH(K24,Events!$G:$G,0)),"")</f>
        <v/>
      </c>
      <c r="M24" s="114">
        <f>IF(K24="","",IF(MONTH(K24+1)&lt;&gt;MONTH(K24),"",K24+1))</f>
        <v>45863</v>
      </c>
      <c r="N24" s="52" t="str">
        <f>IFERROR(INDEX(Events!$A:$A,MATCH(M24,Events!$G:$G,0)),"")</f>
        <v/>
      </c>
      <c r="O24" s="50">
        <f>IF(M24="","",IF(MONTH(M24+1)&lt;&gt;MONTH(M24),"",M24+1))</f>
        <v>45864</v>
      </c>
      <c r="P24" s="52" t="str">
        <f>IFERROR(INDEX(Events!$A:$A,MATCH(O24,Events!$G:$G,0)),"")</f>
        <v/>
      </c>
      <c r="R24" s="150" t="s">
        <v>127</v>
      </c>
    </row>
    <row r="25" spans="1:18" s="2" customFormat="1" x14ac:dyDescent="0.25">
      <c r="A25" s="143"/>
      <c r="C25" s="168"/>
      <c r="D25" s="169"/>
      <c r="E25" s="156" t="s">
        <v>177</v>
      </c>
      <c r="F25" s="157"/>
      <c r="G25" s="155" t="s">
        <v>177</v>
      </c>
      <c r="H25" s="155"/>
      <c r="I25" s="156" t="s">
        <v>177</v>
      </c>
      <c r="J25" s="155"/>
      <c r="K25" s="156" t="s">
        <v>177</v>
      </c>
      <c r="L25" s="157"/>
      <c r="M25" s="155" t="s">
        <v>177</v>
      </c>
      <c r="N25" s="155"/>
      <c r="O25" s="146" t="str">
        <f ca="1">IFERROR(INDEX(Events!$A:$A,MATCH(O24,Events!$H:$H,0)),"")</f>
        <v/>
      </c>
      <c r="P25" s="147"/>
      <c r="R25" s="150"/>
    </row>
    <row r="26" spans="1:18" s="53" customFormat="1" ht="10.199999999999999" x14ac:dyDescent="0.25">
      <c r="A26" s="143"/>
      <c r="C26" s="171"/>
      <c r="D26" s="172"/>
      <c r="E26" s="160" t="s">
        <v>121</v>
      </c>
      <c r="F26" s="161"/>
      <c r="G26" s="162" t="s">
        <v>121</v>
      </c>
      <c r="H26" s="162"/>
      <c r="I26" s="160" t="s">
        <v>121</v>
      </c>
      <c r="J26" s="162"/>
      <c r="K26" s="160" t="s">
        <v>121</v>
      </c>
      <c r="L26" s="161"/>
      <c r="M26" s="162" t="s">
        <v>121</v>
      </c>
      <c r="N26" s="162"/>
      <c r="O26" s="146" t="str">
        <f ca="1">IFERROR(INDEX(Events!$A:$A,MATCH(O24,Events!$H:$H,0)),"")</f>
        <v/>
      </c>
      <c r="P26" s="147" t="str">
        <f ca="1">IFERROR(INDEX(Events!G:G,MATCH(O26,Events!K:K,0)),"")</f>
        <v/>
      </c>
      <c r="R26" s="150"/>
    </row>
    <row r="27" spans="1:18" s="53" customFormat="1" ht="10.199999999999999" x14ac:dyDescent="0.25">
      <c r="A27" s="143"/>
      <c r="C27" s="171"/>
      <c r="D27" s="172"/>
      <c r="E27" s="163" t="s">
        <v>120</v>
      </c>
      <c r="F27" s="164"/>
      <c r="G27" s="165" t="s">
        <v>120</v>
      </c>
      <c r="H27" s="165"/>
      <c r="I27" s="163" t="s">
        <v>120</v>
      </c>
      <c r="J27" s="165"/>
      <c r="K27" s="163" t="s">
        <v>120</v>
      </c>
      <c r="L27" s="164"/>
      <c r="M27" s="165" t="s">
        <v>120</v>
      </c>
      <c r="N27" s="165"/>
      <c r="O27" s="146" t="str">
        <f ca="1">IFERROR(INDEX(Events!$A:$A,MATCH(O24,Events!$I:$I,0)),"")</f>
        <v/>
      </c>
      <c r="P27" s="147"/>
      <c r="R27" s="150"/>
    </row>
    <row r="28" spans="1:18" s="53" customFormat="1" ht="10.199999999999999" x14ac:dyDescent="0.25">
      <c r="A28" s="143"/>
      <c r="C28" s="174" t="str">
        <f ca="1">IFERROR(INDEX(Events!$A:$A,MATCH(C24,Events!$J:$J,0)),"")</f>
        <v/>
      </c>
      <c r="D28" s="175"/>
      <c r="E28" s="174" t="str">
        <f ca="1">IFERROR(INDEX(Events!$A:$A,MATCH(E24,Events!$J:$J,0)),"")</f>
        <v/>
      </c>
      <c r="F28" s="176"/>
      <c r="G28" s="175" t="str">
        <f ca="1">IFERROR(INDEX(Events!$A:$A,MATCH(G24,Events!$J:$J,0)),"")</f>
        <v/>
      </c>
      <c r="H28" s="175"/>
      <c r="I28" s="174" t="str">
        <f ca="1">IFERROR(INDEX(Events!$A:$A,MATCH(I24,Events!$J:$J,0)),"")</f>
        <v/>
      </c>
      <c r="J28" s="175"/>
      <c r="K28" s="174" t="str">
        <f ca="1">IFERROR(INDEX(Events!$A:$A,MATCH(K24,Events!$J:$J,0)),"")</f>
        <v/>
      </c>
      <c r="L28" s="176"/>
      <c r="M28" s="175" t="str">
        <f ca="1">IFERROR(INDEX(Events!$A:$A,MATCH(M24,Events!$J:$J,0)),"")</f>
        <v/>
      </c>
      <c r="N28" s="175"/>
      <c r="O28" s="146" t="str">
        <f ca="1">IFERROR(INDEX(Events!$A:$A,MATCH(O24,Events!$J:$J,0)),"")</f>
        <v/>
      </c>
      <c r="P28" s="147"/>
      <c r="R28" s="150"/>
    </row>
    <row r="29" spans="1:18" s="2" customFormat="1" x14ac:dyDescent="0.25">
      <c r="A29" s="143"/>
      <c r="C29" s="115">
        <f>IF(O24="","",IF(MONTH(O24+1)&lt;&gt;MONTH(O24),"",O24+1))</f>
        <v>45865</v>
      </c>
      <c r="D29" s="117"/>
      <c r="E29" s="115">
        <f>IF(C29="","",IF(MONTH(C29+1)&lt;&gt;MONTH(C29),"",C29+1))</f>
        <v>45866</v>
      </c>
      <c r="F29" s="116" t="str">
        <f>IFERROR(INDEX(Events!$A:$A,MATCH(E29,Events!$G:$G,0)),"")</f>
        <v/>
      </c>
      <c r="G29" s="118">
        <f>IF(E29="","",IF(MONTH(E29+1)&lt;&gt;MONTH(E29),"",E29+1))</f>
        <v>45867</v>
      </c>
      <c r="H29" s="117" t="str">
        <f>IFERROR(INDEX(Events!$A:$A,MATCH(G29,Events!$G:$G,0)),"")</f>
        <v/>
      </c>
      <c r="I29" s="115">
        <f>IF(G29="","",IF(MONTH(G29+1)&lt;&gt;MONTH(G29),"",G29+1))</f>
        <v>45868</v>
      </c>
      <c r="J29" s="116" t="str">
        <f>IFERROR(INDEX(Events!$A:$A,MATCH(I29,Events!$G:$G,0)),"")</f>
        <v/>
      </c>
      <c r="K29" s="118">
        <f>IF(I29="","",IF(MONTH(I29+1)&lt;&gt;MONTH(I29),"",I29+1))</f>
        <v>45869</v>
      </c>
      <c r="L29" s="117" t="str">
        <f>IFERROR(INDEX(Events!$A:$A,MATCH(K29,Events!$G:$G,0)),"")</f>
        <v/>
      </c>
      <c r="M29" s="115" t="str">
        <f>IF(K29="","",IF(MONTH(K29+1)&lt;&gt;MONTH(K29),"",K29+1))</f>
        <v/>
      </c>
      <c r="N29" s="116" t="str">
        <f>IFERROR(INDEX(Events!$A:$A,MATCH(M29,Events!$G:$G,0)),"")</f>
        <v/>
      </c>
      <c r="O29" s="114" t="str">
        <f>IF(M29="","",IF(MONTH(M29+1)&lt;&gt;MONTH(M29),"",M29+1))</f>
        <v/>
      </c>
      <c r="P29" s="52" t="str">
        <f>IFERROR(INDEX(Events!$A:$A,MATCH(O29,Events!$G:$G,0)),"")</f>
        <v/>
      </c>
      <c r="R29" s="150" t="s">
        <v>128</v>
      </c>
    </row>
    <row r="30" spans="1:18" s="2" customFormat="1" x14ac:dyDescent="0.25">
      <c r="A30" s="143"/>
      <c r="C30" s="168"/>
      <c r="D30" s="169"/>
      <c r="E30" s="156" t="s">
        <v>177</v>
      </c>
      <c r="F30" s="157"/>
      <c r="G30" s="155" t="s">
        <v>177</v>
      </c>
      <c r="H30" s="155"/>
      <c r="I30" s="156" t="s">
        <v>177</v>
      </c>
      <c r="J30" s="157"/>
      <c r="K30" s="155" t="s">
        <v>177</v>
      </c>
      <c r="L30" s="155"/>
      <c r="M30" s="219"/>
      <c r="N30" s="220"/>
      <c r="O30" s="93"/>
      <c r="P30" s="105"/>
      <c r="R30" s="150"/>
    </row>
    <row r="31" spans="1:18" s="53" customFormat="1" ht="10.199999999999999" x14ac:dyDescent="0.25">
      <c r="A31" s="143"/>
      <c r="C31" s="171"/>
      <c r="D31" s="172"/>
      <c r="E31" s="160" t="s">
        <v>121</v>
      </c>
      <c r="F31" s="161"/>
      <c r="G31" s="162" t="s">
        <v>121</v>
      </c>
      <c r="H31" s="162"/>
      <c r="I31" s="160" t="s">
        <v>121</v>
      </c>
      <c r="J31" s="161"/>
      <c r="K31" s="162" t="s">
        <v>121</v>
      </c>
      <c r="L31" s="162"/>
      <c r="M31" s="163"/>
      <c r="N31" s="164"/>
      <c r="O31" s="165" t="str">
        <f ca="1">IFERROR(INDEX(Events!$A:$A,MATCH(O29,Events!$H:$H,0)),"")</f>
        <v/>
      </c>
      <c r="P31" s="147" t="str">
        <f ca="1">IFERROR(INDEX(Events!G:G,MATCH(O31,Events!K:K,0)),"")</f>
        <v/>
      </c>
      <c r="R31" s="150"/>
    </row>
    <row r="32" spans="1:18" s="53" customFormat="1" ht="10.199999999999999" x14ac:dyDescent="0.25">
      <c r="A32" s="143"/>
      <c r="C32" s="171"/>
      <c r="D32" s="172"/>
      <c r="E32" s="163" t="s">
        <v>120</v>
      </c>
      <c r="F32" s="164"/>
      <c r="G32" s="165" t="s">
        <v>120</v>
      </c>
      <c r="H32" s="165"/>
      <c r="I32" s="163" t="s">
        <v>120</v>
      </c>
      <c r="J32" s="164"/>
      <c r="K32" s="165" t="s">
        <v>120</v>
      </c>
      <c r="L32" s="165"/>
      <c r="M32" s="163"/>
      <c r="N32" s="164"/>
      <c r="O32" s="165" t="str">
        <f ca="1">IFERROR(INDEX(Events!$A:$A,MATCH(O29,Events!$I:$I,0)),"")</f>
        <v/>
      </c>
      <c r="P32" s="147"/>
      <c r="R32" s="150"/>
    </row>
    <row r="33" spans="1:18" s="53" customFormat="1" ht="10.199999999999999" x14ac:dyDescent="0.25">
      <c r="A33" s="143"/>
      <c r="C33" s="174" t="str">
        <f ca="1">IFERROR(INDEX(Events!$A:$A,MATCH(C29,Events!$J:$J,0)),"")</f>
        <v/>
      </c>
      <c r="D33" s="175"/>
      <c r="E33" s="174" t="str">
        <f ca="1">IFERROR(INDEX(Events!$A:$A,MATCH(E29,Events!$J:$J,0)),"")</f>
        <v/>
      </c>
      <c r="F33" s="176"/>
      <c r="G33" s="175" t="str">
        <f ca="1">IFERROR(INDEX(Events!$A:$A,MATCH(G29,Events!$J:$J,0)),"")</f>
        <v/>
      </c>
      <c r="H33" s="175"/>
      <c r="I33" s="174" t="str">
        <f ca="1">IFERROR(INDEX(Events!$A:$A,MATCH(I29,Events!$J:$J,0)),"")</f>
        <v/>
      </c>
      <c r="J33" s="176"/>
      <c r="K33" s="175" t="str">
        <f ca="1">IFERROR(INDEX(Events!$A:$A,MATCH(K29,Events!$J:$J,0)),"")</f>
        <v/>
      </c>
      <c r="L33" s="175"/>
      <c r="M33" s="174" t="str">
        <f ca="1">IFERROR(INDEX(Events!$A:$A,MATCH(M29,Events!$J:$J,0)),"")</f>
        <v/>
      </c>
      <c r="N33" s="176"/>
      <c r="O33" s="182" t="str">
        <f ca="1">IFERROR(INDEX(Events!$A:$A,MATCH(O29,Events!$J:$J,0)),"")</f>
        <v/>
      </c>
      <c r="P33" s="181"/>
      <c r="R33" s="150"/>
    </row>
    <row r="34" spans="1:18" x14ac:dyDescent="0.25">
      <c r="C34" s="104" t="str">
        <f>IF(O29="","",IF(MONTH(O29+1)&lt;&gt;MONTH(O29),"",O29+1))</f>
        <v/>
      </c>
      <c r="D34" s="105" t="str">
        <f>IFERROR(INDEX(Events!$A:$A,MATCH(C34,Events!$G:$G,0)),"")</f>
        <v/>
      </c>
      <c r="E34" s="104" t="str">
        <f>IF(C34="","",IF(MONTH(C34+1)&lt;&gt;MONTH(C34),"",C34+1))</f>
        <v/>
      </c>
      <c r="F34" s="105" t="str">
        <f>IFERROR(INDEX(Events!$A:$A,MATCH(E34,Events!$G:$G,0)),"")</f>
        <v/>
      </c>
    </row>
    <row r="35" spans="1:18" s="54" customFormat="1" ht="10.199999999999999" x14ac:dyDescent="0.2">
      <c r="C35" s="146" t="str">
        <f ca="1">IFERROR(INDEX(Events!$A:$A,MATCH(C34,Events!$H:$H,0)),"")</f>
        <v/>
      </c>
      <c r="D35" s="147" t="str">
        <f ca="1">IFERROR(INDEX(Events!#REF!,MATCH(C35,Events!A:A,0)),"")</f>
        <v/>
      </c>
      <c r="E35" s="146" t="str">
        <f ca="1">IFERROR(INDEX(Events!$A:$A,MATCH(E34,Events!$H:$H,0)),"")</f>
        <v/>
      </c>
      <c r="F35" s="147" t="str">
        <f ca="1">IFERROR(INDEX(Events!#REF!,MATCH(E35,Events!C:C,0)),"")</f>
        <v/>
      </c>
      <c r="J35" s="55"/>
      <c r="K35" s="55"/>
      <c r="L35" s="55"/>
      <c r="M35" s="55"/>
      <c r="N35" s="55"/>
      <c r="O35" s="55"/>
      <c r="P35" s="55"/>
      <c r="R35" s="101"/>
    </row>
    <row r="36" spans="1:18" s="54" customFormat="1" ht="10.199999999999999" x14ac:dyDescent="0.2">
      <c r="C36" s="146" t="str">
        <f ca="1">IFERROR(INDEX(Events!$A:$A,MATCH(C34,Events!$I:$I,0)),"")</f>
        <v/>
      </c>
      <c r="D36" s="147"/>
      <c r="E36" s="146" t="str">
        <f ca="1">IFERROR(INDEX(Events!$A:$A,MATCH(E34,Events!$I:$I,0)),"")</f>
        <v/>
      </c>
      <c r="F36" s="147"/>
      <c r="I36" s="142">
        <f>D39</f>
        <v>45870</v>
      </c>
      <c r="J36" s="142"/>
      <c r="K36" s="142"/>
      <c r="L36" s="142"/>
      <c r="M36" s="142"/>
      <c r="N36" s="142"/>
      <c r="O36" s="142"/>
      <c r="P36" s="142"/>
      <c r="R36" s="101"/>
    </row>
    <row r="37" spans="1:18" s="54" customFormat="1" ht="10.199999999999999" x14ac:dyDescent="0.2">
      <c r="C37" s="180" t="str">
        <f ca="1">IFERROR(INDEX(Events!$A:$A,MATCH(C34,Events!$J:$J,0)),"")</f>
        <v/>
      </c>
      <c r="D37" s="181"/>
      <c r="E37" s="180" t="str">
        <f ca="1">IFERROR(INDEX(Events!$A:$A,MATCH(E34,Events!$J:$J,0)),"")</f>
        <v/>
      </c>
      <c r="F37" s="181"/>
      <c r="I37" s="142"/>
      <c r="J37" s="142"/>
      <c r="K37" s="142"/>
      <c r="L37" s="142"/>
      <c r="M37" s="142"/>
      <c r="N37" s="142"/>
      <c r="O37" s="142"/>
      <c r="P37" s="142"/>
      <c r="R37" s="101"/>
    </row>
    <row r="38" spans="1:18" ht="18" customHeight="1" x14ac:dyDescent="0.25">
      <c r="I38" s="142"/>
      <c r="J38" s="142"/>
      <c r="K38" s="142"/>
      <c r="L38" s="142"/>
      <c r="M38" s="142"/>
      <c r="N38" s="142"/>
      <c r="O38" s="142"/>
      <c r="P38" s="142"/>
    </row>
    <row r="39" spans="1:18" s="1" customFormat="1" ht="10.199999999999999" hidden="1" x14ac:dyDescent="0.2">
      <c r="C39" s="1" t="s">
        <v>1</v>
      </c>
      <c r="D39" s="6">
        <f>DATE(YEAR('Q1'!$D$7),MONTH('Q1'!$D$7)+7,1)</f>
        <v>45870</v>
      </c>
      <c r="R39" s="101"/>
    </row>
    <row r="40" spans="1:18" s="56" customFormat="1" ht="18" customHeight="1" x14ac:dyDescent="0.25">
      <c r="A40" s="143">
        <f>D39</f>
        <v>45870</v>
      </c>
      <c r="C40" s="144" t="s">
        <v>109</v>
      </c>
      <c r="D40" s="145"/>
      <c r="E40" s="144" t="s">
        <v>110</v>
      </c>
      <c r="F40" s="145"/>
      <c r="G40" s="144" t="s">
        <v>111</v>
      </c>
      <c r="H40" s="145"/>
      <c r="I40" s="144" t="s">
        <v>112</v>
      </c>
      <c r="J40" s="145"/>
      <c r="K40" s="144" t="s">
        <v>113</v>
      </c>
      <c r="L40" s="145"/>
      <c r="M40" s="144" t="s">
        <v>114</v>
      </c>
      <c r="N40" s="145"/>
      <c r="O40" s="144" t="s">
        <v>115</v>
      </c>
      <c r="P40" s="145"/>
      <c r="R40" s="96" t="s">
        <v>132</v>
      </c>
    </row>
    <row r="41" spans="1:18" s="1" customFormat="1" x14ac:dyDescent="0.2">
      <c r="A41" s="143"/>
      <c r="C41" s="50" t="str">
        <f>IF(WEEKDAY($D$39,1)=startday,$D$39,"")</f>
        <v/>
      </c>
      <c r="D41" s="52" t="str">
        <f>IFERROR(INDEX(Events!$A:$A,MATCH(C41,Events!$G:$G,0)),"")</f>
        <v/>
      </c>
      <c r="E41" s="50" t="str">
        <f>IF(C41="",IF(WEEKDAY($D$39,1)=MOD(startday,7)+1,$D$39,""),C41+1)</f>
        <v/>
      </c>
      <c r="F41" s="52" t="str">
        <f>IFERROR(INDEX(Events!$A:$A,MATCH(E41,Events!$G:$G,0)),"")</f>
        <v/>
      </c>
      <c r="G41" s="50" t="str">
        <f>IF(E41="",IF(WEEKDAY($D$39,1)=MOD(startday+1,7)+1,$D$39,""),E41+1)</f>
        <v/>
      </c>
      <c r="H41" s="52" t="str">
        <f>IFERROR(INDEX(Events!$A:$A,MATCH(G41,Events!$G:$G,0)),"")</f>
        <v/>
      </c>
      <c r="I41" s="50" t="str">
        <f>IF(G41="",IF(WEEKDAY($D$39,1)=MOD(startday+2,7)+1,$D$39,""),G41+1)</f>
        <v/>
      </c>
      <c r="J41" s="52" t="str">
        <f>IFERROR(INDEX(Events!$A:$A,MATCH(I41,Events!$G:$G,0)),"")</f>
        <v/>
      </c>
      <c r="K41" s="50" t="str">
        <f>IF(I41="",IF(WEEKDAY($D$39,1)=MOD(startday+3,7)+1,$D$39,""),I41+1)</f>
        <v/>
      </c>
      <c r="L41" s="52" t="str">
        <f>IFERROR(INDEX(Events!$A:$A,MATCH(K41,Events!$G:$G,0)),"")</f>
        <v/>
      </c>
      <c r="M41" s="107">
        <f>IF(K41="",IF(WEEKDAY($D$39,1)=MOD(startday+4,7)+1,$D$39,""),K41+1)</f>
        <v>45870</v>
      </c>
      <c r="N41" s="108" t="s">
        <v>141</v>
      </c>
      <c r="O41" s="50">
        <f>IF(M41="",IF(WEEKDAY($D$39,1)=MOD(startday+5,7)+1,$D$39,""),M41+1)</f>
        <v>45871</v>
      </c>
      <c r="P41" s="52" t="str">
        <f>IFERROR(INDEX(Events!$A:$A,MATCH(O41,Events!$G:$G,0)),"")</f>
        <v/>
      </c>
      <c r="R41" s="183" t="s">
        <v>129</v>
      </c>
    </row>
    <row r="42" spans="1:18" s="1" customFormat="1" x14ac:dyDescent="0.2">
      <c r="A42" s="143"/>
      <c r="C42" s="104"/>
      <c r="D42" s="105"/>
      <c r="E42" s="104"/>
      <c r="F42" s="105"/>
      <c r="G42" s="104"/>
      <c r="H42" s="105"/>
      <c r="I42" s="104"/>
      <c r="J42" s="105"/>
      <c r="K42" s="104"/>
      <c r="L42" s="105"/>
      <c r="M42" s="156" t="s">
        <v>177</v>
      </c>
      <c r="N42" s="157"/>
      <c r="O42" s="146" t="str">
        <f ca="1">IFERROR(INDEX(Events!$A:$A,MATCH(O41,Events!$H:$H,0)),"")</f>
        <v/>
      </c>
      <c r="P42" s="147"/>
      <c r="R42" s="184"/>
    </row>
    <row r="43" spans="1:18" s="54" customFormat="1" ht="10.199999999999999" x14ac:dyDescent="0.2">
      <c r="A43" s="143"/>
      <c r="C43" s="146" t="str">
        <f ca="1">IFERROR(INDEX(Events!$A:$A,MATCH(C41,Events!$H:$H,0)),"")</f>
        <v/>
      </c>
      <c r="D43" s="147"/>
      <c r="E43" s="146" t="str">
        <f ca="1">IFERROR(INDEX(Events!$A:$A,MATCH(E41,Events!$H:$H,0)),"")</f>
        <v/>
      </c>
      <c r="F43" s="147"/>
      <c r="G43" s="146" t="str">
        <f ca="1">IFERROR(INDEX(Events!$A:$A,MATCH(G41,Events!$H:$H,0)),"")</f>
        <v/>
      </c>
      <c r="H43" s="147"/>
      <c r="I43" s="146" t="str">
        <f ca="1">IFERROR(INDEX(Events!$A:$A,MATCH(I41,Events!$H:$H,0)),"")</f>
        <v/>
      </c>
      <c r="J43" s="147"/>
      <c r="K43" s="146" t="str">
        <f ca="1">IFERROR(INDEX(Events!$A:$A,MATCH(K41,Events!$H:$H,0)),"")</f>
        <v/>
      </c>
      <c r="L43" s="147"/>
      <c r="M43" s="160" t="s">
        <v>121</v>
      </c>
      <c r="N43" s="161"/>
      <c r="O43" s="146" t="str">
        <f ca="1">IFERROR(INDEX(Events!$A:$A,MATCH(O41,Events!$H:$H,0)),"")</f>
        <v/>
      </c>
      <c r="P43" s="147"/>
      <c r="R43" s="184"/>
    </row>
    <row r="44" spans="1:18" s="54" customFormat="1" ht="10.199999999999999" x14ac:dyDescent="0.2">
      <c r="A44" s="143"/>
      <c r="C44" s="146" t="str">
        <f ca="1">IFERROR(INDEX(Events!$A:$A,MATCH(C41,Events!$I:$I,0)),"")</f>
        <v/>
      </c>
      <c r="D44" s="147"/>
      <c r="E44" s="146" t="str">
        <f ca="1">IFERROR(INDEX(Events!$A:$A,MATCH(E41,Events!$I:$I,0)),"")</f>
        <v/>
      </c>
      <c r="F44" s="147"/>
      <c r="G44" s="146" t="str">
        <f ca="1">IFERROR(INDEX(Events!$A:$A,MATCH(G41,Events!$I:$I,0)),"")</f>
        <v/>
      </c>
      <c r="H44" s="147"/>
      <c r="I44" s="146" t="str">
        <f ca="1">IFERROR(INDEX(Events!$A:$A,MATCH(I41,Events!$I:$I,0)),"")</f>
        <v/>
      </c>
      <c r="J44" s="147"/>
      <c r="K44" s="146" t="str">
        <f ca="1">IFERROR(INDEX(Events!$A:$A,MATCH(K41,Events!$I:$I,0)),"")</f>
        <v/>
      </c>
      <c r="L44" s="147"/>
      <c r="M44" s="163" t="s">
        <v>120</v>
      </c>
      <c r="N44" s="164"/>
      <c r="O44" s="146" t="str">
        <f ca="1">IFERROR(INDEX(Events!$A:$A,MATCH(O41,Events!$I:$I,0)),"")</f>
        <v/>
      </c>
      <c r="P44" s="147"/>
      <c r="R44" s="184"/>
    </row>
    <row r="45" spans="1:18" s="54" customFormat="1" ht="10.199999999999999" x14ac:dyDescent="0.2">
      <c r="A45" s="143"/>
      <c r="C45" s="146" t="str">
        <f ca="1">IFERROR(INDEX(Events!$A:$A,MATCH(C41,Events!$J:$J,0)),"")</f>
        <v/>
      </c>
      <c r="D45" s="147"/>
      <c r="E45" s="146" t="str">
        <f ca="1">IFERROR(INDEX(Events!$A:$A,MATCH(E41,Events!$J:$J,0)),"")</f>
        <v/>
      </c>
      <c r="F45" s="147"/>
      <c r="G45" s="146" t="str">
        <f ca="1">IFERROR(INDEX(Events!$A:$A,MATCH(G41,Events!$J:$J,0)),"")</f>
        <v/>
      </c>
      <c r="H45" s="147"/>
      <c r="I45" s="146" t="str">
        <f ca="1">IFERROR(INDEX(Events!$A:$A,MATCH(I41,Events!$J:$J,0)),"")</f>
        <v/>
      </c>
      <c r="J45" s="147"/>
      <c r="K45" s="146" t="str">
        <f ca="1">IFERROR(INDEX(Events!$A:$A,MATCH(K41,Events!$J:$J,0)),"")</f>
        <v/>
      </c>
      <c r="L45" s="147"/>
      <c r="M45" s="191" t="s">
        <v>179</v>
      </c>
      <c r="N45" s="192"/>
      <c r="O45" s="146" t="str">
        <f ca="1">IFERROR(INDEX(Events!$A:$A,MATCH(O41,Events!$J:$J,0)),"")</f>
        <v/>
      </c>
      <c r="P45" s="147"/>
      <c r="R45" s="184"/>
    </row>
    <row r="46" spans="1:18" s="1" customFormat="1" x14ac:dyDescent="0.2">
      <c r="A46" s="143"/>
      <c r="C46" s="50">
        <f>IF(O41="","",IF(MONTH(O41+1)&lt;&gt;MONTH(O41),"",O41+1))</f>
        <v>45872</v>
      </c>
      <c r="D46" s="52" t="str">
        <f>IFERROR(INDEX(Events!$A:$A,MATCH(C46,Events!$G:$G,0)),"")</f>
        <v/>
      </c>
      <c r="E46" s="50">
        <f>IF(C46="","",IF(MONTH(C46+1)&lt;&gt;MONTH(C46),"",C46+1))</f>
        <v>45873</v>
      </c>
      <c r="F46" s="97" t="s">
        <v>142</v>
      </c>
      <c r="G46" s="50">
        <f>IF(E46="","",IF(MONTH(E46+1)&lt;&gt;MONTH(E46),"",E46+1))</f>
        <v>45874</v>
      </c>
      <c r="H46" s="97" t="s">
        <v>143</v>
      </c>
      <c r="I46" s="50">
        <f>IF(G46="","",IF(MONTH(G46+1)&lt;&gt;MONTH(G46),"",G46+1))</f>
        <v>45875</v>
      </c>
      <c r="J46" s="97" t="s">
        <v>144</v>
      </c>
      <c r="K46" s="50">
        <f>IF(I46="","",IF(MONTH(I46+1)&lt;&gt;MONTH(I46),"",I46+1))</f>
        <v>45876</v>
      </c>
      <c r="L46" s="97" t="s">
        <v>145</v>
      </c>
      <c r="M46" s="115">
        <f>IF(K46="","",IF(MONTH(K46+1)&lt;&gt;MONTH(K46),"",K46+1))</f>
        <v>45877</v>
      </c>
      <c r="N46" s="97" t="s">
        <v>146</v>
      </c>
      <c r="O46" s="114">
        <f>IF(M46="","",IF(MONTH(M46+1)&lt;&gt;MONTH(M46),"",M46+1))</f>
        <v>45878</v>
      </c>
      <c r="P46" s="52" t="str">
        <f>IFERROR(INDEX(Events!$A:$A,MATCH(O46,Events!$G:$G,0)),"")</f>
        <v/>
      </c>
      <c r="R46" s="150" t="s">
        <v>130</v>
      </c>
    </row>
    <row r="47" spans="1:18" s="1" customFormat="1" ht="10.199999999999999" x14ac:dyDescent="0.2">
      <c r="A47" s="143"/>
      <c r="C47" s="168"/>
      <c r="D47" s="169"/>
      <c r="E47" s="156" t="s">
        <v>177</v>
      </c>
      <c r="F47" s="157"/>
      <c r="G47" s="155" t="s">
        <v>177</v>
      </c>
      <c r="H47" s="155"/>
      <c r="I47" s="156" t="s">
        <v>177</v>
      </c>
      <c r="J47" s="157"/>
      <c r="K47" s="155" t="s">
        <v>177</v>
      </c>
      <c r="L47" s="155"/>
      <c r="M47" s="156" t="s">
        <v>177</v>
      </c>
      <c r="N47" s="157"/>
      <c r="O47" s="165" t="str">
        <f ca="1">IFERROR(INDEX(Events!$A:$A,MATCH(O46,Events!$H:$H,0)),"")</f>
        <v/>
      </c>
      <c r="P47" s="147"/>
      <c r="R47" s="150"/>
    </row>
    <row r="48" spans="1:18" s="54" customFormat="1" ht="10.199999999999999" x14ac:dyDescent="0.2">
      <c r="A48" s="143"/>
      <c r="C48" s="171"/>
      <c r="D48" s="172"/>
      <c r="E48" s="160" t="s">
        <v>121</v>
      </c>
      <c r="F48" s="161"/>
      <c r="G48" s="162" t="s">
        <v>121</v>
      </c>
      <c r="H48" s="162"/>
      <c r="I48" s="160" t="s">
        <v>121</v>
      </c>
      <c r="J48" s="161"/>
      <c r="K48" s="162" t="s">
        <v>121</v>
      </c>
      <c r="L48" s="162"/>
      <c r="M48" s="160" t="s">
        <v>121</v>
      </c>
      <c r="N48" s="161"/>
      <c r="O48" s="165" t="str">
        <f ca="1">IFERROR(INDEX(Events!$A:$A,MATCH(O46,Events!$H:$H,0)),"")</f>
        <v/>
      </c>
      <c r="P48" s="147"/>
      <c r="R48" s="150"/>
    </row>
    <row r="49" spans="1:18" s="54" customFormat="1" ht="10.199999999999999" x14ac:dyDescent="0.2">
      <c r="A49" s="143"/>
      <c r="C49" s="171"/>
      <c r="D49" s="172"/>
      <c r="E49" s="163" t="s">
        <v>120</v>
      </c>
      <c r="F49" s="164"/>
      <c r="G49" s="165" t="s">
        <v>120</v>
      </c>
      <c r="H49" s="165"/>
      <c r="I49" s="163" t="s">
        <v>120</v>
      </c>
      <c r="J49" s="164"/>
      <c r="K49" s="165" t="s">
        <v>120</v>
      </c>
      <c r="L49" s="165"/>
      <c r="M49" s="163" t="s">
        <v>120</v>
      </c>
      <c r="N49" s="164"/>
      <c r="O49" s="165" t="str">
        <f ca="1">IFERROR(INDEX(Events!$A:$A,MATCH(O46,Events!$I:$I,0)),"")</f>
        <v/>
      </c>
      <c r="P49" s="147"/>
      <c r="R49" s="150"/>
    </row>
    <row r="50" spans="1:18" s="54" customFormat="1" ht="10.199999999999999" x14ac:dyDescent="0.2">
      <c r="A50" s="143"/>
      <c r="C50" s="146" t="str">
        <f ca="1">IFERROR(INDEX(Events!$A:$A,MATCH(C46,Events!$J:$J,0)),"")</f>
        <v/>
      </c>
      <c r="D50" s="147"/>
      <c r="E50" s="158" t="s">
        <v>175</v>
      </c>
      <c r="F50" s="216"/>
      <c r="G50" s="146" t="str">
        <f ca="1">IFERROR(INDEX(Events!$A:$A,MATCH(G46,Events!$J:$J,0)),"")</f>
        <v/>
      </c>
      <c r="H50" s="147"/>
      <c r="I50" s="146" t="str">
        <f ca="1">IFERROR(INDEX(Events!$A:$A,MATCH(I46,Events!$J:$J,0)),"")</f>
        <v/>
      </c>
      <c r="J50" s="147"/>
      <c r="K50" s="146" t="str">
        <f ca="1">IFERROR(INDEX(Events!$A:$A,MATCH(K46,Events!$J:$J,0)),"")</f>
        <v/>
      </c>
      <c r="L50" s="165"/>
      <c r="M50" s="193" t="s">
        <v>119</v>
      </c>
      <c r="N50" s="167" t="str">
        <f>IFERROR(INDEX(Events!E:E,MATCH(M50,Events!#REF!,0)),"")</f>
        <v/>
      </c>
      <c r="O50" s="165" t="str">
        <f ca="1">IFERROR(INDEX(Events!$A:$A,MATCH(O46,Events!$J:$J,0)),"")</f>
        <v/>
      </c>
      <c r="P50" s="147"/>
      <c r="R50" s="150"/>
    </row>
    <row r="51" spans="1:18" s="1" customFormat="1" x14ac:dyDescent="0.2">
      <c r="A51" s="143"/>
      <c r="C51" s="50">
        <f>IF(O46="","",IF(MONTH(O46+1)&lt;&gt;MONTH(O46),"",O46+1))</f>
        <v>45879</v>
      </c>
      <c r="D51" s="97" t="s">
        <v>147</v>
      </c>
      <c r="E51" s="50">
        <f>IF(C51="","",IF(MONTH(C51+1)&lt;&gt;MONTH(C51),"",C51+1))</f>
        <v>45880</v>
      </c>
      <c r="F51" s="97" t="s">
        <v>151</v>
      </c>
      <c r="G51" s="50">
        <f>IF(E51="","",IF(MONTH(E51+1)&lt;&gt;MONTH(E51),"",E51+1))</f>
        <v>45881</v>
      </c>
      <c r="H51" s="97" t="s">
        <v>153</v>
      </c>
      <c r="I51" s="50">
        <f>IF(G51="","",IF(MONTH(G51+1)&lt;&gt;MONTH(G51),"",G51+1))</f>
        <v>45882</v>
      </c>
      <c r="J51" s="52" t="str">
        <f>IFERROR(INDEX(Events!$A:$A,MATCH(I51,Events!$G:$G,0)),"")</f>
        <v/>
      </c>
      <c r="K51" s="50">
        <f>IF(I51="","",IF(MONTH(I51+1)&lt;&gt;MONTH(I51),"",I51+1))</f>
        <v>45883</v>
      </c>
      <c r="L51" s="121" t="str">
        <f>IFERROR(INDEX(Events!$A:$A,MATCH(K51,Events!$G:$G,0)),"")</f>
        <v/>
      </c>
      <c r="M51" s="122">
        <f>IF(K51="","",IF(MONTH(K51+1)&lt;&gt;MONTH(K51),"",K51+1))</f>
        <v>45884</v>
      </c>
      <c r="N51" s="123" t="str">
        <f>IFERROR(INDEX(Events!$A:$A,MATCH(M51,Events!$G:$G,0)),"")</f>
        <v/>
      </c>
      <c r="O51" s="114">
        <f>IF(M51="","",IF(MONTH(M51+1)&lt;&gt;MONTH(M51),"",M51+1))</f>
        <v>45885</v>
      </c>
      <c r="P51" s="52" t="str">
        <f>IFERROR(INDEX(Events!$A:$A,MATCH(O51,Events!$G:$G,0)),"")</f>
        <v/>
      </c>
      <c r="R51" s="150" t="s">
        <v>131</v>
      </c>
    </row>
    <row r="52" spans="1:18" s="1" customFormat="1" ht="10.199999999999999" x14ac:dyDescent="0.2">
      <c r="A52" s="143"/>
      <c r="C52" s="168"/>
      <c r="D52" s="169"/>
      <c r="E52" s="156" t="s">
        <v>177</v>
      </c>
      <c r="F52" s="157"/>
      <c r="G52" s="155" t="s">
        <v>177</v>
      </c>
      <c r="H52" s="155"/>
      <c r="I52" s="156" t="s">
        <v>177</v>
      </c>
      <c r="J52" s="157"/>
      <c r="K52" s="155" t="s">
        <v>177</v>
      </c>
      <c r="L52" s="155"/>
      <c r="M52" s="156" t="s">
        <v>177</v>
      </c>
      <c r="N52" s="157"/>
      <c r="O52" s="165" t="str">
        <f ca="1">IFERROR(INDEX(Events!$A:$A,MATCH(O51,Events!$H:$H,0)),"")</f>
        <v/>
      </c>
      <c r="P52" s="147"/>
      <c r="R52" s="150"/>
    </row>
    <row r="53" spans="1:18" s="54" customFormat="1" ht="10.199999999999999" x14ac:dyDescent="0.2">
      <c r="A53" s="143"/>
      <c r="C53" s="171"/>
      <c r="D53" s="172"/>
      <c r="E53" s="160" t="s">
        <v>121</v>
      </c>
      <c r="F53" s="161"/>
      <c r="G53" s="162" t="s">
        <v>121</v>
      </c>
      <c r="H53" s="162"/>
      <c r="I53" s="160" t="s">
        <v>121</v>
      </c>
      <c r="J53" s="161"/>
      <c r="K53" s="162" t="s">
        <v>121</v>
      </c>
      <c r="L53" s="162"/>
      <c r="M53" s="160" t="s">
        <v>121</v>
      </c>
      <c r="N53" s="161"/>
      <c r="O53" s="165" t="str">
        <f ca="1">IFERROR(INDEX(Events!$A:$A,MATCH(O51,Events!$H:$H,0)),"")</f>
        <v/>
      </c>
      <c r="P53" s="147"/>
      <c r="R53" s="150"/>
    </row>
    <row r="54" spans="1:18" s="54" customFormat="1" ht="10.199999999999999" x14ac:dyDescent="0.2">
      <c r="A54" s="143"/>
      <c r="C54" s="171"/>
      <c r="D54" s="172"/>
      <c r="E54" s="163" t="s">
        <v>120</v>
      </c>
      <c r="F54" s="164"/>
      <c r="G54" s="165" t="s">
        <v>120</v>
      </c>
      <c r="H54" s="165"/>
      <c r="I54" s="163" t="s">
        <v>120</v>
      </c>
      <c r="J54" s="164"/>
      <c r="K54" s="165" t="s">
        <v>120</v>
      </c>
      <c r="L54" s="165"/>
      <c r="M54" s="163" t="s">
        <v>120</v>
      </c>
      <c r="N54" s="164"/>
      <c r="O54" s="165" t="str">
        <f ca="1">IFERROR(INDEX(Events!$A:$A,MATCH(O51,Events!$I:$I,0)),"")</f>
        <v/>
      </c>
      <c r="P54" s="147"/>
      <c r="R54" s="150"/>
    </row>
    <row r="55" spans="1:18" s="54" customFormat="1" ht="10.199999999999999" x14ac:dyDescent="0.2">
      <c r="A55" s="143"/>
      <c r="C55" s="194"/>
      <c r="D55" s="195"/>
      <c r="E55" s="146" t="str">
        <f ca="1">IFERROR(INDEX(Events!$A:$A,MATCH(E51,Events!$J:$J,0)),"")</f>
        <v/>
      </c>
      <c r="F55" s="147"/>
      <c r="G55" s="196" t="s">
        <v>162</v>
      </c>
      <c r="H55" s="197" t="str">
        <f>IFERROR(INDEX([1]Events!#REF!,MATCH(G55,[1]Events!#REF!,0)),"")</f>
        <v/>
      </c>
      <c r="I55" s="194"/>
      <c r="J55" s="195"/>
      <c r="K55" s="146" t="str">
        <f ca="1">IFERROR(INDEX(Events!$A:$A,MATCH(K51,Events!$J:$J,0)),"")</f>
        <v/>
      </c>
      <c r="L55" s="165"/>
      <c r="M55" s="163" t="str">
        <f ca="1">IFERROR(INDEX(Events!$A:$A,MATCH(M51,Events!$J:$J,0)),"")</f>
        <v/>
      </c>
      <c r="N55" s="164"/>
      <c r="O55" s="165" t="str">
        <f ca="1">IFERROR(INDEX(Events!$A:$A,MATCH(O51,Events!$J:$J,0)),"")</f>
        <v/>
      </c>
      <c r="P55" s="147"/>
      <c r="R55" s="150"/>
    </row>
    <row r="56" spans="1:18" s="1" customFormat="1" x14ac:dyDescent="0.2">
      <c r="A56" s="143"/>
      <c r="C56" s="50">
        <f>IF(O51="","",IF(MONTH(O51+1)&lt;&gt;MONTH(O51),"",O51+1))</f>
        <v>45886</v>
      </c>
      <c r="D56" s="52" t="str">
        <f>IFERROR(INDEX(Events!$A:$A,MATCH(C56,Events!$G:$G,0)),"")</f>
        <v/>
      </c>
      <c r="E56" s="50">
        <f>IF(C56="","",IF(MONTH(C56+1)&lt;&gt;MONTH(C56),"",C56+1))</f>
        <v>45887</v>
      </c>
      <c r="F56" s="52" t="str">
        <f>IFERROR(INDEX(Events!$A:$A,MATCH(E56,Events!$G:$G,0)),"")</f>
        <v/>
      </c>
      <c r="G56" s="50">
        <f>IF(E56="","",IF(MONTH(E56+1)&lt;&gt;MONTH(E56),"",E56+1))</f>
        <v>45888</v>
      </c>
      <c r="H56" s="52" t="str">
        <f>IFERROR(INDEX(Events!$A:$A,MATCH(G56,Events!$G:$G,0)),"")</f>
        <v>Aviation Day</v>
      </c>
      <c r="I56" s="50">
        <f>IF(G56="","",IF(MONTH(G56+1)&lt;&gt;MONTH(G56),"",G56+1))</f>
        <v>45889</v>
      </c>
      <c r="J56" s="52" t="str">
        <f>IFERROR(INDEX(Events!$A:$A,MATCH(I56,Events!$G:$G,0)),"")</f>
        <v/>
      </c>
      <c r="K56" s="50">
        <f>IF(I56="","",IF(MONTH(I56+1)&lt;&gt;MONTH(I56),"",I56+1))</f>
        <v>45890</v>
      </c>
      <c r="L56" s="121" t="str">
        <f>IFERROR(INDEX(Events!$A:$A,MATCH(K56,Events!$G:$G,0)),"")</f>
        <v/>
      </c>
      <c r="M56" s="122">
        <f>IF(K56="","",IF(MONTH(K56+1)&lt;&gt;MONTH(K56),"",K56+1))</f>
        <v>45891</v>
      </c>
      <c r="N56" s="123" t="str">
        <f>IFERROR(INDEX(Events!$A:$A,MATCH(M56,Events!$G:$G,0)),"")</f>
        <v/>
      </c>
      <c r="O56" s="114">
        <f>IF(M56="","",IF(MONTH(M56+1)&lt;&gt;MONTH(M56),"",M56+1))</f>
        <v>45892</v>
      </c>
      <c r="P56" s="52" t="str">
        <f>IFERROR(INDEX(Events!$A:$A,MATCH(O56,Events!$G:$G,0)),"")</f>
        <v/>
      </c>
      <c r="R56" s="150" t="s">
        <v>133</v>
      </c>
    </row>
    <row r="57" spans="1:18" s="1" customFormat="1" ht="10.199999999999999" x14ac:dyDescent="0.2">
      <c r="A57" s="143"/>
      <c r="C57" s="168"/>
      <c r="D57" s="169"/>
      <c r="E57" s="156" t="s">
        <v>177</v>
      </c>
      <c r="F57" s="157"/>
      <c r="G57" s="155" t="s">
        <v>177</v>
      </c>
      <c r="H57" s="155"/>
      <c r="I57" s="156" t="s">
        <v>177</v>
      </c>
      <c r="J57" s="157"/>
      <c r="K57" s="155" t="s">
        <v>177</v>
      </c>
      <c r="L57" s="155"/>
      <c r="M57" s="156" t="s">
        <v>177</v>
      </c>
      <c r="N57" s="157"/>
      <c r="O57" s="165" t="str">
        <f ca="1">IFERROR(INDEX(Events!$A:$A,MATCH(O56,Events!$H:$H,0)),"")</f>
        <v/>
      </c>
      <c r="P57" s="147"/>
      <c r="R57" s="150"/>
    </row>
    <row r="58" spans="1:18" s="54" customFormat="1" ht="10.199999999999999" x14ac:dyDescent="0.2">
      <c r="A58" s="143"/>
      <c r="C58" s="171"/>
      <c r="D58" s="172"/>
      <c r="E58" s="160" t="s">
        <v>121</v>
      </c>
      <c r="F58" s="161"/>
      <c r="G58" s="162" t="s">
        <v>121</v>
      </c>
      <c r="H58" s="162"/>
      <c r="I58" s="160" t="s">
        <v>121</v>
      </c>
      <c r="J58" s="161"/>
      <c r="K58" s="162" t="s">
        <v>121</v>
      </c>
      <c r="L58" s="162"/>
      <c r="M58" s="160" t="s">
        <v>121</v>
      </c>
      <c r="N58" s="161"/>
      <c r="O58" s="165" t="str">
        <f ca="1">IFERROR(INDEX(Events!$A:$A,MATCH(O56,Events!$H:$H,0)),"")</f>
        <v/>
      </c>
      <c r="P58" s="147"/>
      <c r="R58" s="150"/>
    </row>
    <row r="59" spans="1:18" s="54" customFormat="1" ht="10.199999999999999" x14ac:dyDescent="0.2">
      <c r="A59" s="143"/>
      <c r="C59" s="171"/>
      <c r="D59" s="172"/>
      <c r="E59" s="163" t="s">
        <v>120</v>
      </c>
      <c r="F59" s="164"/>
      <c r="G59" s="165" t="s">
        <v>120</v>
      </c>
      <c r="H59" s="165"/>
      <c r="I59" s="163" t="s">
        <v>120</v>
      </c>
      <c r="J59" s="164"/>
      <c r="K59" s="165" t="s">
        <v>120</v>
      </c>
      <c r="L59" s="165"/>
      <c r="M59" s="163" t="s">
        <v>120</v>
      </c>
      <c r="N59" s="164"/>
      <c r="O59" s="165" t="str">
        <f ca="1">IFERROR(INDEX(Events!$A:$A,MATCH(O56,Events!$I:$I,0)),"")</f>
        <v/>
      </c>
      <c r="P59" s="147"/>
      <c r="R59" s="150"/>
    </row>
    <row r="60" spans="1:18" s="54" customFormat="1" ht="10.199999999999999" x14ac:dyDescent="0.2">
      <c r="A60" s="143"/>
      <c r="C60" s="146" t="str">
        <f ca="1">IFERROR(INDEX(Events!$A:$A,MATCH(C56,Events!$J:$J,0)),"")</f>
        <v/>
      </c>
      <c r="D60" s="147"/>
      <c r="E60" s="146" t="str">
        <f ca="1">IFERROR(INDEX(Events!$A:$A,MATCH(E56,Events!$J:$J,0)),"")</f>
        <v/>
      </c>
      <c r="F60" s="147"/>
      <c r="G60" s="146" t="str">
        <f ca="1">IFERROR(INDEX(Events!$A:$A,MATCH(G56,Events!$J:$J,0)),"")</f>
        <v/>
      </c>
      <c r="H60" s="147"/>
      <c r="I60" s="146" t="str">
        <f ca="1">IFERROR(INDEX(Events!$A:$A,MATCH(I56,Events!$J:$J,0)),"")</f>
        <v/>
      </c>
      <c r="J60" s="147"/>
      <c r="K60" s="146" t="str">
        <f ca="1">IFERROR(INDEX(Events!$A:$A,MATCH(K56,Events!$J:$J,0)),"")</f>
        <v/>
      </c>
      <c r="L60" s="165"/>
      <c r="M60" s="163" t="str">
        <f ca="1">IFERROR(INDEX(Events!$A:$A,MATCH(M56,Events!$J:$J,0)),"")</f>
        <v/>
      </c>
      <c r="N60" s="164"/>
      <c r="O60" s="165" t="str">
        <f ca="1">IFERROR(INDEX(Events!$A:$A,MATCH(O56,Events!$J:$J,0)),"")</f>
        <v/>
      </c>
      <c r="P60" s="147"/>
      <c r="R60" s="150"/>
    </row>
    <row r="61" spans="1:18" x14ac:dyDescent="0.25">
      <c r="A61" s="143"/>
      <c r="C61" s="50">
        <f>IF(O56="","",IF(MONTH(O56+1)&lt;&gt;MONTH(O56),"",O56+1))</f>
        <v>45893</v>
      </c>
      <c r="D61" s="52" t="str">
        <f>IFERROR(INDEX(Events!$A:$A,MATCH(C61,Events!$G:$G,0)),"")</f>
        <v/>
      </c>
      <c r="E61" s="50">
        <f>IF(C61="","",IF(MONTH(C61+1)&lt;&gt;MONTH(C61),"",C61+1))</f>
        <v>45894</v>
      </c>
      <c r="F61" s="52" t="str">
        <f>IFERROR(INDEX(Events!$A:$A,MATCH(E61,Events!$G:$G,0)),"")</f>
        <v/>
      </c>
      <c r="G61" s="50">
        <f>IF(E61="","",IF(MONTH(E61+1)&lt;&gt;MONTH(E61),"",E61+1))</f>
        <v>45895</v>
      </c>
      <c r="H61" s="52" t="str">
        <f>IFERROR(INDEX(Events!$A:$A,MATCH(G61,Events!$G:$G,0)),"")</f>
        <v/>
      </c>
      <c r="I61" s="50">
        <f>IF(G61="","",IF(MONTH(G61+1)&lt;&gt;MONTH(G61),"",G61+1))</f>
        <v>45896</v>
      </c>
      <c r="J61" s="52" t="str">
        <f>IFERROR(INDEX(Events!$A:$A,MATCH(I61,Events!$G:$G,0)),"")</f>
        <v/>
      </c>
      <c r="K61" s="50">
        <f>IF(I61="","",IF(MONTH(I61+1)&lt;&gt;MONTH(I61),"",I61+1))</f>
        <v>45897</v>
      </c>
      <c r="L61" s="121" t="str">
        <f>IFERROR(INDEX(Events!$A:$A,MATCH(K61,Events!$G:$G,0)),"")</f>
        <v/>
      </c>
      <c r="M61" s="122">
        <f>IF(K61="","",IF(MONTH(K61+1)&lt;&gt;MONTH(K61),"",K61+1))</f>
        <v>45898</v>
      </c>
      <c r="N61" s="123" t="str">
        <f>IFERROR(INDEX(Events!$A:$A,MATCH(M61,Events!$G:$G,0)),"")</f>
        <v/>
      </c>
      <c r="O61" s="114">
        <f>IF(M61="","",IF(MONTH(M61+1)&lt;&gt;MONTH(M61),"",M61+1))</f>
        <v>45899</v>
      </c>
      <c r="P61" s="52" t="str">
        <f>IFERROR(INDEX(Events!$A:$A,MATCH(O61,Events!$G:$G,0)),"")</f>
        <v/>
      </c>
      <c r="R61" s="150" t="s">
        <v>134</v>
      </c>
    </row>
    <row r="62" spans="1:18" x14ac:dyDescent="0.25">
      <c r="A62" s="143"/>
      <c r="C62" s="168"/>
      <c r="D62" s="169"/>
      <c r="E62" s="156" t="s">
        <v>177</v>
      </c>
      <c r="F62" s="157"/>
      <c r="G62" s="155" t="s">
        <v>177</v>
      </c>
      <c r="H62" s="155"/>
      <c r="I62" s="156" t="s">
        <v>177</v>
      </c>
      <c r="J62" s="157"/>
      <c r="K62" s="155" t="s">
        <v>177</v>
      </c>
      <c r="L62" s="155"/>
      <c r="M62" s="156" t="s">
        <v>177</v>
      </c>
      <c r="N62" s="157"/>
      <c r="O62" s="156" t="s">
        <v>177</v>
      </c>
      <c r="P62" s="157"/>
      <c r="R62" s="150"/>
    </row>
    <row r="63" spans="1:18" s="54" customFormat="1" ht="10.199999999999999" x14ac:dyDescent="0.2">
      <c r="A63" s="143"/>
      <c r="C63" s="171"/>
      <c r="D63" s="172"/>
      <c r="E63" s="160" t="s">
        <v>121</v>
      </c>
      <c r="F63" s="161"/>
      <c r="G63" s="162" t="s">
        <v>121</v>
      </c>
      <c r="H63" s="162"/>
      <c r="I63" s="160" t="s">
        <v>121</v>
      </c>
      <c r="J63" s="161"/>
      <c r="K63" s="162" t="s">
        <v>121</v>
      </c>
      <c r="L63" s="162"/>
      <c r="M63" s="160" t="s">
        <v>121</v>
      </c>
      <c r="N63" s="161"/>
      <c r="O63" s="160" t="s">
        <v>121</v>
      </c>
      <c r="P63" s="161"/>
      <c r="R63" s="150"/>
    </row>
    <row r="64" spans="1:18" s="54" customFormat="1" ht="10.199999999999999" x14ac:dyDescent="0.2">
      <c r="A64" s="143"/>
      <c r="C64" s="171"/>
      <c r="D64" s="172"/>
      <c r="E64" s="163" t="s">
        <v>120</v>
      </c>
      <c r="F64" s="164"/>
      <c r="G64" s="165" t="s">
        <v>120</v>
      </c>
      <c r="H64" s="165"/>
      <c r="I64" s="163" t="s">
        <v>120</v>
      </c>
      <c r="J64" s="164"/>
      <c r="K64" s="165" t="s">
        <v>120</v>
      </c>
      <c r="L64" s="165"/>
      <c r="M64" s="163" t="s">
        <v>120</v>
      </c>
      <c r="N64" s="164"/>
      <c r="O64" s="163" t="s">
        <v>120</v>
      </c>
      <c r="P64" s="164"/>
      <c r="R64" s="150"/>
    </row>
    <row r="65" spans="1:18" s="54" customFormat="1" ht="10.199999999999999" x14ac:dyDescent="0.2">
      <c r="A65" s="143"/>
      <c r="C65" s="146" t="str">
        <f ca="1">IFERROR(INDEX(Events!$A:$A,MATCH(C61,Events!$J:$J,0)),"")</f>
        <v/>
      </c>
      <c r="D65" s="147"/>
      <c r="E65" s="146" t="str">
        <f ca="1">IFERROR(INDEX(Events!$A:$A,MATCH(E61,Events!$J:$J,0)),"")</f>
        <v/>
      </c>
      <c r="F65" s="147"/>
      <c r="G65" s="180" t="str">
        <f ca="1">IFERROR(INDEX(Events!$A:$A,MATCH(G61,Events!$J:$J,0)),"")</f>
        <v/>
      </c>
      <c r="H65" s="181"/>
      <c r="I65" s="180" t="str">
        <f ca="1">IFERROR(INDEX(Events!$A:$A,MATCH(I61,Events!$J:$J,0)),"")</f>
        <v/>
      </c>
      <c r="J65" s="181"/>
      <c r="K65" s="180" t="str">
        <f ca="1">IFERROR(INDEX(Events!$A:$A,MATCH(K61,Events!$J:$J,0)),"")</f>
        <v/>
      </c>
      <c r="L65" s="182"/>
      <c r="M65" s="174" t="str">
        <f ca="1">IFERROR(INDEX(Events!$A:$A,MATCH(M61,Events!$J:$J,0)),"")</f>
        <v/>
      </c>
      <c r="N65" s="176"/>
      <c r="O65" s="182" t="str">
        <f ca="1">IFERROR(INDEX(Events!$A:$A,MATCH(O61,Events!$J:$J,0)),"")</f>
        <v/>
      </c>
      <c r="P65" s="181"/>
      <c r="R65" s="150"/>
    </row>
    <row r="66" spans="1:18" x14ac:dyDescent="0.25">
      <c r="C66" s="50">
        <f>IF(O61="","",IF(MONTH(O61+1)&lt;&gt;MONTH(O61),"",O61+1))</f>
        <v>45900</v>
      </c>
      <c r="D66" s="52" t="str">
        <f>IFERROR(INDEX(Events!$A:$A,MATCH(C66,Events!$G:$G,0)),"")</f>
        <v/>
      </c>
      <c r="E66" s="50" t="str">
        <f>IF(C66="","",IF(MONTH(C66+1)&lt;&gt;MONTH(C66),"",C66+1))</f>
        <v/>
      </c>
      <c r="F66" s="52" t="str">
        <f>IFERROR(INDEX(Events!$A:$A,MATCH(E66,Events!$G:$G,0)),"")</f>
        <v/>
      </c>
    </row>
    <row r="67" spans="1:18" x14ac:dyDescent="0.25">
      <c r="C67" s="146" t="str">
        <f ca="1">IFERROR(INDEX(Events!$A:$A,MATCH(C66,Events!$H:$H,0)),"")</f>
        <v/>
      </c>
      <c r="D67" s="147"/>
      <c r="E67" s="104"/>
      <c r="F67" s="105"/>
    </row>
    <row r="68" spans="1:18" s="54" customFormat="1" ht="10.199999999999999" x14ac:dyDescent="0.2">
      <c r="C68" s="146" t="str">
        <f ca="1">IFERROR(INDEX(Events!$A:$A,MATCH(C66,Events!$H:$H,0)),"")</f>
        <v/>
      </c>
      <c r="D68" s="147"/>
      <c r="E68" s="146" t="str">
        <f ca="1">IFERROR(INDEX(Events!$A:$A,MATCH(E66,Events!$H:$H,0)),"")</f>
        <v/>
      </c>
      <c r="F68" s="147"/>
      <c r="J68" s="55"/>
      <c r="K68" s="55"/>
      <c r="L68" s="55"/>
      <c r="M68" s="55"/>
      <c r="N68" s="55"/>
      <c r="O68" s="55"/>
      <c r="P68" s="55"/>
      <c r="R68" s="101"/>
    </row>
    <row r="69" spans="1:18" s="54" customFormat="1" ht="10.199999999999999" x14ac:dyDescent="0.2">
      <c r="C69" s="146" t="str">
        <f ca="1">IFERROR(INDEX(Events!$A:$A,MATCH(C66,Events!$I:$I,0)),"")</f>
        <v/>
      </c>
      <c r="D69" s="147"/>
      <c r="E69" s="146" t="str">
        <f ca="1">IFERROR(INDEX(Events!$A:$A,MATCH(E66,Events!$I:$I,0)),"")</f>
        <v/>
      </c>
      <c r="F69" s="147"/>
      <c r="I69" s="142">
        <f>D72</f>
        <v>45901</v>
      </c>
      <c r="J69" s="142"/>
      <c r="K69" s="142"/>
      <c r="L69" s="142"/>
      <c r="M69" s="142"/>
      <c r="N69" s="142"/>
      <c r="O69" s="142"/>
      <c r="P69" s="142"/>
      <c r="R69" s="101"/>
    </row>
    <row r="70" spans="1:18" s="54" customFormat="1" ht="10.199999999999999" x14ac:dyDescent="0.2">
      <c r="C70" s="180" t="str">
        <f ca="1">IFERROR(INDEX(Events!$A:$A,MATCH(C66,Events!$J:$J,0)),"")</f>
        <v/>
      </c>
      <c r="D70" s="181"/>
      <c r="E70" s="180" t="str">
        <f ca="1">IFERROR(INDEX(Events!$A:$A,MATCH(E66,Events!$J:$J,0)),"")</f>
        <v/>
      </c>
      <c r="F70" s="181"/>
      <c r="I70" s="142"/>
      <c r="J70" s="142"/>
      <c r="K70" s="142"/>
      <c r="L70" s="142"/>
      <c r="M70" s="142"/>
      <c r="N70" s="142"/>
      <c r="O70" s="142"/>
      <c r="P70" s="142"/>
      <c r="R70" s="101"/>
    </row>
    <row r="71" spans="1:18" ht="18" customHeight="1" x14ac:dyDescent="0.25">
      <c r="I71" s="142"/>
      <c r="J71" s="142"/>
      <c r="K71" s="142"/>
      <c r="L71" s="142"/>
      <c r="M71" s="142"/>
      <c r="N71" s="142"/>
      <c r="O71" s="142"/>
      <c r="P71" s="142"/>
    </row>
    <row r="72" spans="1:18" hidden="1" x14ac:dyDescent="0.25">
      <c r="C72" s="1" t="s">
        <v>1</v>
      </c>
      <c r="D72" s="6">
        <f>DATE(YEAR('Q1'!$D$7),MONTH('Q1'!$D$7)+8,1)</f>
        <v>45901</v>
      </c>
      <c r="E72" s="1"/>
      <c r="F72" s="1"/>
      <c r="G72" s="1"/>
      <c r="H72" s="1"/>
      <c r="I72" s="1"/>
      <c r="J72" s="1"/>
      <c r="K72" s="1"/>
      <c r="L72" s="1"/>
      <c r="M72" s="1"/>
      <c r="N72" s="1"/>
      <c r="O72" s="1"/>
      <c r="P72" s="1"/>
    </row>
    <row r="73" spans="1:18" s="56" customFormat="1" ht="18" customHeight="1" x14ac:dyDescent="0.25">
      <c r="A73" s="143">
        <f>D72</f>
        <v>45901</v>
      </c>
      <c r="C73" s="144" t="s">
        <v>109</v>
      </c>
      <c r="D73" s="145"/>
      <c r="E73" s="144" t="s">
        <v>110</v>
      </c>
      <c r="F73" s="145"/>
      <c r="G73" s="144" t="s">
        <v>111</v>
      </c>
      <c r="H73" s="145"/>
      <c r="I73" s="144" t="s">
        <v>112</v>
      </c>
      <c r="J73" s="145"/>
      <c r="K73" s="144" t="s">
        <v>113</v>
      </c>
      <c r="L73" s="145"/>
      <c r="M73" s="144" t="s">
        <v>114</v>
      </c>
      <c r="N73" s="145"/>
      <c r="O73" s="144" t="s">
        <v>115</v>
      </c>
      <c r="P73" s="145"/>
      <c r="R73" s="96" t="s">
        <v>132</v>
      </c>
    </row>
    <row r="74" spans="1:18" ht="13.2" customHeight="1" x14ac:dyDescent="0.25">
      <c r="A74" s="143"/>
      <c r="C74" s="50" t="str">
        <f>IF(WEEKDAY($D$72,1)=startday,$D$72,"")</f>
        <v/>
      </c>
      <c r="D74" s="52" t="str">
        <f>IFERROR(INDEX(Events!$A:$A,MATCH(C74,Events!$G:$G,0)),"")</f>
        <v/>
      </c>
      <c r="E74" s="50">
        <f>IF(C74="",IF(WEEKDAY($D$72,1)=MOD(startday,7)+1,$D$72,""),C74+1)</f>
        <v>45901</v>
      </c>
      <c r="F74" s="52" t="str">
        <f>IFERROR(INDEX(Events!$A:$A,MATCH(E74,Events!$G:$G,0)),"")</f>
        <v>Labor Day</v>
      </c>
      <c r="G74" s="107">
        <f>IF(E74="",IF(WEEKDAY($D$72,1)=MOD(startday+1,7)+1,$D$72,""),E74+1)</f>
        <v>45902</v>
      </c>
      <c r="H74" s="108" t="s">
        <v>141</v>
      </c>
      <c r="I74" s="50">
        <f>IF(G74="",IF(WEEKDAY($D$72,1)=MOD(startday+2,7)+1,$D$72,""),G74+1)</f>
        <v>45903</v>
      </c>
      <c r="J74" s="97" t="s">
        <v>142</v>
      </c>
      <c r="K74" s="50">
        <f>IF(I74="",IF(WEEKDAY($D$72,1)=MOD(startday+3,7)+1,$D$72,""),I74+1)</f>
        <v>45904</v>
      </c>
      <c r="L74" s="97" t="s">
        <v>143</v>
      </c>
      <c r="M74" s="50">
        <f>IF(K74="",IF(WEEKDAY($D$72,1)=MOD(startday+4,7)+1,$D$72,""),K74+1)</f>
        <v>45905</v>
      </c>
      <c r="N74" s="97" t="s">
        <v>144</v>
      </c>
      <c r="O74" s="50">
        <f>IF(M74="",IF(WEEKDAY($D$72,1)=MOD(startday+5,7)+1,$D$72,""),M74+1)</f>
        <v>45906</v>
      </c>
      <c r="P74" s="52" t="str">
        <f>IFERROR(INDEX(Events!$A:$A,MATCH(O74,Events!$G:$G,0)),"")</f>
        <v/>
      </c>
      <c r="R74" s="198" t="s">
        <v>136</v>
      </c>
    </row>
    <row r="75" spans="1:18" ht="13.2" customHeight="1" x14ac:dyDescent="0.25">
      <c r="A75" s="143"/>
      <c r="C75" s="104"/>
      <c r="D75" s="105"/>
      <c r="E75" s="156" t="s">
        <v>177</v>
      </c>
      <c r="F75" s="157"/>
      <c r="G75" s="155" t="s">
        <v>177</v>
      </c>
      <c r="H75" s="155"/>
      <c r="I75" s="156" t="s">
        <v>177</v>
      </c>
      <c r="J75" s="157"/>
      <c r="K75" s="155" t="s">
        <v>177</v>
      </c>
      <c r="L75" s="155"/>
      <c r="M75" s="156" t="s">
        <v>177</v>
      </c>
      <c r="N75" s="157"/>
      <c r="O75" s="146" t="str">
        <f ca="1">IFERROR(INDEX(Events!$A:$A,MATCH(O74,Events!$H:$H,0)),"")</f>
        <v/>
      </c>
      <c r="P75" s="147"/>
      <c r="R75" s="150"/>
    </row>
    <row r="76" spans="1:18" s="54" customFormat="1" ht="10.199999999999999" customHeight="1" x14ac:dyDescent="0.2">
      <c r="A76" s="143"/>
      <c r="C76" s="146" t="str">
        <f ca="1">IFERROR(INDEX(Events!$A:$A,MATCH(C74,Events!$H:$H,0)),"")</f>
        <v/>
      </c>
      <c r="D76" s="147"/>
      <c r="E76" s="160" t="s">
        <v>121</v>
      </c>
      <c r="F76" s="161"/>
      <c r="G76" s="162" t="s">
        <v>121</v>
      </c>
      <c r="H76" s="162"/>
      <c r="I76" s="160" t="s">
        <v>121</v>
      </c>
      <c r="J76" s="161"/>
      <c r="K76" s="162" t="s">
        <v>121</v>
      </c>
      <c r="L76" s="162"/>
      <c r="M76" s="160" t="s">
        <v>121</v>
      </c>
      <c r="N76" s="161"/>
      <c r="O76" s="146" t="str">
        <f ca="1">IFERROR(INDEX(Events!$A:$A,MATCH(O74,Events!$H:$H,0)),"")</f>
        <v/>
      </c>
      <c r="P76" s="147"/>
      <c r="R76" s="150"/>
    </row>
    <row r="77" spans="1:18" s="54" customFormat="1" ht="10.199999999999999" customHeight="1" x14ac:dyDescent="0.2">
      <c r="A77" s="143"/>
      <c r="C77" s="146" t="str">
        <f ca="1">IFERROR(INDEX(Events!$A:$A,MATCH(C74,Events!$I:$I,0)),"")</f>
        <v/>
      </c>
      <c r="D77" s="147"/>
      <c r="E77" s="163" t="s">
        <v>120</v>
      </c>
      <c r="F77" s="164"/>
      <c r="G77" s="165" t="s">
        <v>120</v>
      </c>
      <c r="H77" s="165"/>
      <c r="I77" s="163" t="s">
        <v>120</v>
      </c>
      <c r="J77" s="164"/>
      <c r="K77" s="165" t="s">
        <v>120</v>
      </c>
      <c r="L77" s="165"/>
      <c r="M77" s="163" t="s">
        <v>120</v>
      </c>
      <c r="N77" s="164"/>
      <c r="O77" s="146" t="str">
        <f ca="1">IFERROR(INDEX(Events!$A:$A,MATCH(O74,Events!$I:$I,0)),"")</f>
        <v/>
      </c>
      <c r="P77" s="147"/>
      <c r="R77" s="150"/>
    </row>
    <row r="78" spans="1:18" s="54" customFormat="1" ht="10.199999999999999" customHeight="1" x14ac:dyDescent="0.2">
      <c r="A78" s="143"/>
      <c r="C78" s="146" t="str">
        <f ca="1">IFERROR(INDEX(Events!$A:$A,MATCH(C74,Events!$J:$J,0)),"")</f>
        <v/>
      </c>
      <c r="D78" s="147"/>
      <c r="E78" s="146" t="str">
        <f ca="1">IFERROR(INDEX(Events!$A:$A,MATCH(E74,Events!$J:$J,0)),"")</f>
        <v/>
      </c>
      <c r="F78" s="147"/>
      <c r="G78" s="191" t="s">
        <v>180</v>
      </c>
      <c r="H78" s="192"/>
      <c r="I78" s="158" t="s">
        <v>175</v>
      </c>
      <c r="J78" s="216"/>
      <c r="K78" s="146" t="str">
        <f ca="1">IFERROR(INDEX(Events!$A:$A,MATCH(K74,Events!$J:$J,0)),"")</f>
        <v/>
      </c>
      <c r="L78" s="147"/>
      <c r="M78" s="146" t="str">
        <f ca="1">IFERROR(INDEX(Events!$A:$A,MATCH(M74,Events!$J:$J,0)),"")</f>
        <v/>
      </c>
      <c r="N78" s="147"/>
      <c r="O78" s="146" t="str">
        <f ca="1">IFERROR(INDEX(Events!$A:$A,MATCH(O74,Events!$J:$J,0)),"")</f>
        <v/>
      </c>
      <c r="P78" s="147"/>
      <c r="R78" s="150"/>
    </row>
    <row r="79" spans="1:18" x14ac:dyDescent="0.25">
      <c r="A79" s="143"/>
      <c r="C79" s="50">
        <f>IF(O74="","",IF(MONTH(O74+1)&lt;&gt;MONTH(O74),"",O74+1))</f>
        <v>45907</v>
      </c>
      <c r="D79" s="52" t="str">
        <f>IFERROR(INDEX(Events!$A:$A,MATCH(C79,Events!$G:$G,0)),"")</f>
        <v>Grandparents Day</v>
      </c>
      <c r="E79" s="50">
        <f>IF(C79="","",IF(MONTH(C79+1)&lt;&gt;MONTH(C79),"",C79+1))</f>
        <v>45908</v>
      </c>
      <c r="F79" s="97" t="s">
        <v>145</v>
      </c>
      <c r="G79" s="50">
        <f>IF(E79="","",IF(MONTH(E79+1)&lt;&gt;MONTH(E79),"",E79+1))</f>
        <v>45909</v>
      </c>
      <c r="H79" s="97" t="s">
        <v>146</v>
      </c>
      <c r="I79" s="50">
        <f>IF(G79="","",IF(MONTH(G79+1)&lt;&gt;MONTH(G79),"",G79+1))</f>
        <v>45910</v>
      </c>
      <c r="J79" s="97" t="s">
        <v>147</v>
      </c>
      <c r="K79" s="50">
        <f>IF(I79="","",IF(MONTH(I79+1)&lt;&gt;MONTH(I79),"",I79+1))</f>
        <v>45911</v>
      </c>
      <c r="L79" s="97" t="s">
        <v>151</v>
      </c>
      <c r="M79" s="50">
        <f>IF(K79="","",IF(MONTH(K79+1)&lt;&gt;MONTH(K79),"",K79+1))</f>
        <v>45912</v>
      </c>
      <c r="N79" s="97" t="s">
        <v>153</v>
      </c>
      <c r="O79" s="50">
        <f>IF(M79="","",IF(MONTH(M79+1)&lt;&gt;MONTH(M79),"",M79+1))</f>
        <v>45913</v>
      </c>
      <c r="P79" s="52" t="str">
        <f>IFERROR(INDEX(Events!$A:$A,MATCH(O79,Events!$G:$G,0)),"")</f>
        <v/>
      </c>
      <c r="R79" s="150" t="s">
        <v>137</v>
      </c>
    </row>
    <row r="80" spans="1:18" x14ac:dyDescent="0.25">
      <c r="A80" s="143"/>
      <c r="C80" s="168"/>
      <c r="D80" s="201"/>
      <c r="E80" s="156" t="s">
        <v>177</v>
      </c>
      <c r="F80" s="157"/>
      <c r="G80" s="155" t="s">
        <v>177</v>
      </c>
      <c r="H80" s="155"/>
      <c r="I80" s="156" t="s">
        <v>177</v>
      </c>
      <c r="J80" s="157"/>
      <c r="K80" s="155" t="s">
        <v>177</v>
      </c>
      <c r="L80" s="155"/>
      <c r="M80" s="156" t="s">
        <v>177</v>
      </c>
      <c r="N80" s="157"/>
      <c r="O80" s="146" t="str">
        <f ca="1">IFERROR(INDEX(Events!$A:$A,MATCH(O79,Events!$H:$H,0)),"")</f>
        <v/>
      </c>
      <c r="P80" s="147"/>
      <c r="R80" s="150"/>
    </row>
    <row r="81" spans="1:18" s="54" customFormat="1" ht="10.199999999999999" customHeight="1" x14ac:dyDescent="0.2">
      <c r="A81" s="143"/>
      <c r="C81" s="171"/>
      <c r="D81" s="202"/>
      <c r="E81" s="160" t="s">
        <v>121</v>
      </c>
      <c r="F81" s="161"/>
      <c r="G81" s="162" t="s">
        <v>121</v>
      </c>
      <c r="H81" s="162"/>
      <c r="I81" s="160" t="s">
        <v>121</v>
      </c>
      <c r="J81" s="161"/>
      <c r="K81" s="162" t="s">
        <v>121</v>
      </c>
      <c r="L81" s="162"/>
      <c r="M81" s="160" t="s">
        <v>121</v>
      </c>
      <c r="N81" s="161"/>
      <c r="O81" s="146" t="str">
        <f ca="1">IFERROR(INDEX(Events!$A:$A,MATCH(O79,Events!$H:$H,0)),"")</f>
        <v/>
      </c>
      <c r="P81" s="147"/>
      <c r="R81" s="150"/>
    </row>
    <row r="82" spans="1:18" s="54" customFormat="1" ht="10.199999999999999" customHeight="1" x14ac:dyDescent="0.2">
      <c r="A82" s="143"/>
      <c r="C82" s="171"/>
      <c r="D82" s="202"/>
      <c r="E82" s="163" t="s">
        <v>120</v>
      </c>
      <c r="F82" s="164"/>
      <c r="G82" s="165" t="s">
        <v>120</v>
      </c>
      <c r="H82" s="165"/>
      <c r="I82" s="163" t="s">
        <v>120</v>
      </c>
      <c r="J82" s="164"/>
      <c r="K82" s="165" t="s">
        <v>120</v>
      </c>
      <c r="L82" s="165"/>
      <c r="M82" s="163" t="s">
        <v>120</v>
      </c>
      <c r="N82" s="164"/>
      <c r="O82" s="146" t="str">
        <f ca="1">IFERROR(INDEX(Events!$A:$A,MATCH(O79,Events!$I:$I,0)),"")</f>
        <v/>
      </c>
      <c r="P82" s="147"/>
      <c r="R82" s="150"/>
    </row>
    <row r="83" spans="1:18" s="54" customFormat="1" ht="10.199999999999999" customHeight="1" x14ac:dyDescent="0.2">
      <c r="A83" s="143"/>
      <c r="C83" s="146" t="str">
        <f ca="1">IFERROR(INDEX(Events!$A:$A,MATCH(C79,Events!$J:$J,0)),"")</f>
        <v/>
      </c>
      <c r="D83" s="147"/>
      <c r="E83" s="146" t="str">
        <f ca="1">IFERROR(INDEX(Events!$A:$A,MATCH(E79,Events!$J:$J,0)),"")</f>
        <v/>
      </c>
      <c r="F83" s="147"/>
      <c r="G83" s="146" t="str">
        <f ca="1">IFERROR(INDEX(Events!$A:$A,MATCH(G79,Events!$J:$J,0)),"")</f>
        <v/>
      </c>
      <c r="H83" s="147"/>
      <c r="I83" s="146" t="str">
        <f ca="1">IFERROR(INDEX(Events!$A:$A,MATCH(I79,Events!$J:$J,0)),"")</f>
        <v/>
      </c>
      <c r="J83" s="147"/>
      <c r="K83" s="193" t="s">
        <v>119</v>
      </c>
      <c r="L83" s="167" t="str">
        <f>IFERROR(INDEX([1]Events!C:C,MATCH(K83,[1]Events!#REF!,0)),"")</f>
        <v/>
      </c>
      <c r="M83" s="196" t="s">
        <v>162</v>
      </c>
      <c r="N83" s="197" t="str">
        <f>IFERROR(INDEX([1]Events!E:E,MATCH(M83,[1]Events!#REF!,0)),"")</f>
        <v/>
      </c>
      <c r="O83" s="146" t="str">
        <f ca="1">IFERROR(INDEX(Events!$A:$A,MATCH(O79,Events!$J:$J,0)),"")</f>
        <v/>
      </c>
      <c r="P83" s="147"/>
      <c r="R83" s="150"/>
    </row>
    <row r="84" spans="1:18" x14ac:dyDescent="0.25">
      <c r="A84" s="143"/>
      <c r="C84" s="50">
        <f>IF(O79="","",IF(MONTH(O79+1)&lt;&gt;MONTH(O79),"",O79+1))</f>
        <v>45914</v>
      </c>
      <c r="D84" s="52" t="str">
        <f>IFERROR(INDEX(Events!$A:$A,MATCH(C84,Events!$G:$G,0)),"")</f>
        <v/>
      </c>
      <c r="E84" s="50">
        <f>IF(C84="","",IF(MONTH(C84+1)&lt;&gt;MONTH(C84),"",C84+1))</f>
        <v>45915</v>
      </c>
      <c r="F84" s="52" t="str">
        <f>IFERROR(INDEX(Events!$A:$A,MATCH(E84,Events!$G:$G,0)),"")</f>
        <v/>
      </c>
      <c r="G84" s="50">
        <f>IF(E84="","",IF(MONTH(E84+1)&lt;&gt;MONTH(E84),"",E84+1))</f>
        <v>45916</v>
      </c>
      <c r="H84" s="52" t="str">
        <f>IFERROR(INDEX(Events!$A:$A,MATCH(G84,Events!$G:$G,0)),"")</f>
        <v/>
      </c>
      <c r="I84" s="50">
        <f>IF(G84="","",IF(MONTH(G84+1)&lt;&gt;MONTH(G84),"",G84+1))</f>
        <v>45917</v>
      </c>
      <c r="J84" s="52" t="str">
        <f>IFERROR(INDEX(Events!$A:$A,MATCH(I84,Events!$G:$G,0)),"")</f>
        <v>Constitution Day</v>
      </c>
      <c r="K84" s="50">
        <f>IF(I84="","",IF(MONTH(I84+1)&lt;&gt;MONTH(I84),"",I84+1))</f>
        <v>45918</v>
      </c>
      <c r="L84" s="52" t="str">
        <f>IFERROR(INDEX(Events!$A:$A,MATCH(K84,Events!$G:$G,0)),"")</f>
        <v/>
      </c>
      <c r="M84" s="50">
        <f>IF(K84="","",IF(MONTH(K84+1)&lt;&gt;MONTH(K84),"",K84+1))</f>
        <v>45919</v>
      </c>
      <c r="N84" s="52" t="str">
        <f>IFERROR(INDEX(Events!$A:$A,MATCH(M84,Events!$G:$G,0)),"")</f>
        <v/>
      </c>
      <c r="O84" s="50">
        <f>IF(M84="","",IF(MONTH(M84+1)&lt;&gt;MONTH(M84),"",M84+1))</f>
        <v>45920</v>
      </c>
      <c r="P84" s="52" t="str">
        <f>IFERROR(INDEX(Events!$A:$A,MATCH(O84,Events!$G:$G,0)),"")</f>
        <v/>
      </c>
      <c r="R84" s="150" t="s">
        <v>138</v>
      </c>
    </row>
    <row r="85" spans="1:18" x14ac:dyDescent="0.25">
      <c r="A85" s="143"/>
      <c r="C85" s="168"/>
      <c r="D85" s="201"/>
      <c r="E85" s="155" t="s">
        <v>177</v>
      </c>
      <c r="F85" s="155"/>
      <c r="G85" s="156" t="s">
        <v>177</v>
      </c>
      <c r="H85" s="157"/>
      <c r="I85" s="155" t="s">
        <v>177</v>
      </c>
      <c r="J85" s="155"/>
      <c r="K85" s="156" t="s">
        <v>177</v>
      </c>
      <c r="L85" s="157"/>
      <c r="M85" s="155" t="s">
        <v>177</v>
      </c>
      <c r="N85" s="155"/>
      <c r="O85" s="156" t="s">
        <v>177</v>
      </c>
      <c r="P85" s="157"/>
      <c r="R85" s="150"/>
    </row>
    <row r="86" spans="1:18" s="54" customFormat="1" ht="10.199999999999999" customHeight="1" x14ac:dyDescent="0.2">
      <c r="A86" s="143"/>
      <c r="C86" s="171"/>
      <c r="D86" s="202"/>
      <c r="E86" s="162" t="s">
        <v>121</v>
      </c>
      <c r="F86" s="162"/>
      <c r="G86" s="160" t="s">
        <v>121</v>
      </c>
      <c r="H86" s="161"/>
      <c r="I86" s="162" t="s">
        <v>121</v>
      </c>
      <c r="J86" s="162"/>
      <c r="K86" s="160" t="s">
        <v>121</v>
      </c>
      <c r="L86" s="161"/>
      <c r="M86" s="162" t="s">
        <v>121</v>
      </c>
      <c r="N86" s="162"/>
      <c r="O86" s="160" t="s">
        <v>121</v>
      </c>
      <c r="P86" s="161"/>
      <c r="R86" s="150"/>
    </row>
    <row r="87" spans="1:18" s="54" customFormat="1" ht="10.199999999999999" customHeight="1" x14ac:dyDescent="0.2">
      <c r="A87" s="143"/>
      <c r="C87" s="171"/>
      <c r="D87" s="202"/>
      <c r="E87" s="165" t="s">
        <v>120</v>
      </c>
      <c r="F87" s="165"/>
      <c r="G87" s="163" t="s">
        <v>120</v>
      </c>
      <c r="H87" s="164"/>
      <c r="I87" s="165" t="s">
        <v>120</v>
      </c>
      <c r="J87" s="165"/>
      <c r="K87" s="163" t="s">
        <v>120</v>
      </c>
      <c r="L87" s="164"/>
      <c r="M87" s="165" t="s">
        <v>120</v>
      </c>
      <c r="N87" s="165"/>
      <c r="O87" s="163" t="s">
        <v>120</v>
      </c>
      <c r="P87" s="164"/>
      <c r="R87" s="150"/>
    </row>
    <row r="88" spans="1:18" s="54" customFormat="1" ht="10.199999999999999" customHeight="1" x14ac:dyDescent="0.2">
      <c r="A88" s="143"/>
      <c r="C88" s="146" t="str">
        <f ca="1">IFERROR(INDEX(Events!$A:$A,MATCH(C84,Events!$J:$J,0)),"")</f>
        <v/>
      </c>
      <c r="D88" s="147"/>
      <c r="E88" s="146" t="str">
        <f ca="1">IFERROR(INDEX(Events!$A:$A,MATCH(E84,Events!$J:$J,0)),"")</f>
        <v/>
      </c>
      <c r="F88" s="147"/>
      <c r="G88" s="146" t="str">
        <f ca="1">IFERROR(INDEX(Events!$A:$A,MATCH(G84,Events!$J:$J,0)),"")</f>
        <v/>
      </c>
      <c r="H88" s="147"/>
      <c r="I88" s="146" t="str">
        <f ca="1">IFERROR(INDEX(Events!$A:$A,MATCH(I84,Events!$J:$J,0)),"")</f>
        <v/>
      </c>
      <c r="J88" s="147"/>
      <c r="K88" s="146" t="str">
        <f ca="1">IFERROR(INDEX(Events!$A:$A,MATCH(K84,Events!$J:$J,0)),"")</f>
        <v/>
      </c>
      <c r="L88" s="147"/>
      <c r="M88" s="146" t="str">
        <f ca="1">IFERROR(INDEX(Events!$A:$A,MATCH(M84,Events!$J:$J,0)),"")</f>
        <v/>
      </c>
      <c r="N88" s="147"/>
      <c r="O88" s="146" t="str">
        <f ca="1">IFERROR(INDEX(Events!$A:$A,MATCH(O84,Events!$J:$J,0)),"")</f>
        <v/>
      </c>
      <c r="P88" s="147"/>
      <c r="R88" s="150"/>
    </row>
    <row r="89" spans="1:18" x14ac:dyDescent="0.25">
      <c r="A89" s="143"/>
      <c r="C89" s="50">
        <f>IF(O84="","",IF(MONTH(O84+1)&lt;&gt;MONTH(O84),"",O84+1))</f>
        <v>45921</v>
      </c>
      <c r="D89" s="52" t="str">
        <f>IFERROR(INDEX(Events!$A:$A,MATCH(C89,Events!$G:$G,0)),"")</f>
        <v/>
      </c>
      <c r="E89" s="50">
        <f>IF(C89="","",IF(MONTH(C89+1)&lt;&gt;MONTH(C89),"",C89+1))</f>
        <v>45922</v>
      </c>
      <c r="F89" s="52" t="str">
        <f>IFERROR(INDEX(Events!$A:$A,MATCH(E89,Events!$G:$G,0)),"")</f>
        <v>Autumnal equinox (GMT)</v>
      </c>
      <c r="G89" s="50">
        <f>IF(E89="","",IF(MONTH(E89+1)&lt;&gt;MONTH(E89),"",E89+1))</f>
        <v>45923</v>
      </c>
      <c r="H89" s="52" t="str">
        <f>IFERROR(INDEX(Events!$A:$A,MATCH(G89,Events!$G:$G,0)),"")</f>
        <v>Rosh Hashanah</v>
      </c>
      <c r="I89" s="50">
        <f>IF(G89="","",IF(MONTH(G89+1)&lt;&gt;MONTH(G89),"",G89+1))</f>
        <v>45924</v>
      </c>
      <c r="J89" s="52" t="str">
        <f>IFERROR(INDEX(Events!$A:$A,MATCH(I89,Events!$G:$G,0)),"")</f>
        <v/>
      </c>
      <c r="K89" s="50">
        <f>IF(I89="","",IF(MONTH(I89+1)&lt;&gt;MONTH(I89),"",I89+1))</f>
        <v>45925</v>
      </c>
      <c r="L89" s="52" t="str">
        <f>IFERROR(INDEX(Events!$A:$A,MATCH(K89,Events!$G:$G,0)),"")</f>
        <v/>
      </c>
      <c r="M89" s="50">
        <f>IF(K89="","",IF(MONTH(K89+1)&lt;&gt;MONTH(K89),"",K89+1))</f>
        <v>45926</v>
      </c>
      <c r="N89" s="52" t="str">
        <f>IFERROR(INDEX(Events!$A:$A,MATCH(M89,Events!$G:$G,0)),"")</f>
        <v/>
      </c>
      <c r="O89" s="50">
        <f>IF(M89="","",IF(MONTH(M89+1)&lt;&gt;MONTH(M89),"",M89+1))</f>
        <v>45927</v>
      </c>
      <c r="P89" s="52" t="str">
        <f>IFERROR(INDEX(Events!$A:$A,MATCH(O89,Events!$G:$G,0)),"")</f>
        <v/>
      </c>
      <c r="R89" s="150" t="s">
        <v>139</v>
      </c>
    </row>
    <row r="90" spans="1:18" x14ac:dyDescent="0.25">
      <c r="A90" s="143"/>
      <c r="C90" s="168"/>
      <c r="D90" s="201"/>
      <c r="E90" s="155" t="s">
        <v>177</v>
      </c>
      <c r="F90" s="155"/>
      <c r="G90" s="156" t="s">
        <v>177</v>
      </c>
      <c r="H90" s="157"/>
      <c r="I90" s="155" t="s">
        <v>177</v>
      </c>
      <c r="J90" s="155"/>
      <c r="K90" s="156" t="s">
        <v>177</v>
      </c>
      <c r="L90" s="157"/>
      <c r="M90" s="155" t="s">
        <v>177</v>
      </c>
      <c r="N90" s="155"/>
      <c r="O90" s="156" t="s">
        <v>177</v>
      </c>
      <c r="P90" s="157"/>
      <c r="R90" s="150"/>
    </row>
    <row r="91" spans="1:18" s="54" customFormat="1" ht="10.199999999999999" customHeight="1" x14ac:dyDescent="0.2">
      <c r="A91" s="143"/>
      <c r="C91" s="171"/>
      <c r="D91" s="202"/>
      <c r="E91" s="162" t="s">
        <v>121</v>
      </c>
      <c r="F91" s="162"/>
      <c r="G91" s="160" t="s">
        <v>121</v>
      </c>
      <c r="H91" s="161"/>
      <c r="I91" s="162" t="s">
        <v>121</v>
      </c>
      <c r="J91" s="162"/>
      <c r="K91" s="160" t="s">
        <v>121</v>
      </c>
      <c r="L91" s="161"/>
      <c r="M91" s="162" t="s">
        <v>121</v>
      </c>
      <c r="N91" s="162"/>
      <c r="O91" s="160" t="s">
        <v>121</v>
      </c>
      <c r="P91" s="161"/>
      <c r="R91" s="150"/>
    </row>
    <row r="92" spans="1:18" s="54" customFormat="1" ht="10.199999999999999" customHeight="1" x14ac:dyDescent="0.2">
      <c r="A92" s="143"/>
      <c r="C92" s="171"/>
      <c r="D92" s="202"/>
      <c r="E92" s="165" t="s">
        <v>120</v>
      </c>
      <c r="F92" s="165"/>
      <c r="G92" s="163" t="s">
        <v>120</v>
      </c>
      <c r="H92" s="164"/>
      <c r="I92" s="165" t="s">
        <v>120</v>
      </c>
      <c r="J92" s="165"/>
      <c r="K92" s="163" t="s">
        <v>120</v>
      </c>
      <c r="L92" s="164"/>
      <c r="M92" s="165" t="s">
        <v>120</v>
      </c>
      <c r="N92" s="165"/>
      <c r="O92" s="163" t="s">
        <v>120</v>
      </c>
      <c r="P92" s="164"/>
      <c r="R92" s="150"/>
    </row>
    <row r="93" spans="1:18" s="54" customFormat="1" ht="10.199999999999999" customHeight="1" x14ac:dyDescent="0.2">
      <c r="A93" s="143"/>
      <c r="C93" s="146" t="str">
        <f ca="1">IFERROR(INDEX(Events!$A:$A,MATCH(C89,Events!$J:$J,0)),"")</f>
        <v/>
      </c>
      <c r="D93" s="147"/>
      <c r="E93" s="146" t="str">
        <f ca="1">IFERROR(INDEX(Events!$A:$A,MATCH(E89,Events!$J:$J,0)),"")</f>
        <v/>
      </c>
      <c r="F93" s="147"/>
      <c r="G93" s="146" t="str">
        <f ca="1">IFERROR(INDEX(Events!$A:$A,MATCH(G89,Events!$J:$J,0)),"")</f>
        <v/>
      </c>
      <c r="H93" s="147"/>
      <c r="I93" s="146" t="str">
        <f ca="1">IFERROR(INDEX(Events!$A:$A,MATCH(I89,Events!$J:$J,0)),"")</f>
        <v/>
      </c>
      <c r="J93" s="147"/>
      <c r="K93" s="146" t="str">
        <f ca="1">IFERROR(INDEX(Events!$A:$A,MATCH(K89,Events!$J:$J,0)),"")</f>
        <v/>
      </c>
      <c r="L93" s="147"/>
      <c r="M93" s="146" t="str">
        <f ca="1">IFERROR(INDEX(Events!$A:$A,MATCH(M89,Events!$J:$J,0)),"")</f>
        <v/>
      </c>
      <c r="N93" s="147"/>
      <c r="O93" s="146" t="str">
        <f ca="1">IFERROR(INDEX(Events!$A:$A,MATCH(O89,Events!$J:$J,0)),"")</f>
        <v/>
      </c>
      <c r="P93" s="147"/>
      <c r="R93" s="150"/>
    </row>
    <row r="94" spans="1:18" x14ac:dyDescent="0.25">
      <c r="A94" s="143"/>
      <c r="C94" s="50">
        <f>IF(O89="","",IF(MONTH(O89+1)&lt;&gt;MONTH(O89),"",O89+1))</f>
        <v>45928</v>
      </c>
      <c r="D94" s="52" t="str">
        <f>IFERROR(INDEX(Events!$A:$A,MATCH(C94,Events!$G:$G,0)),"")</f>
        <v/>
      </c>
      <c r="E94" s="50">
        <f>IF(C94="","",IF(MONTH(C94+1)&lt;&gt;MONTH(C94),"",C94+1))</f>
        <v>45929</v>
      </c>
      <c r="F94" s="52" t="str">
        <f>IFERROR(INDEX(Events!$A:$A,MATCH(E94,Events!$G:$G,0)),"")</f>
        <v/>
      </c>
      <c r="G94" s="50">
        <f>IF(E94="","",IF(MONTH(E94+1)&lt;&gt;MONTH(E94),"",E94+1))</f>
        <v>45930</v>
      </c>
      <c r="H94" s="121" t="str">
        <f>IFERROR(INDEX(Events!$A:$A,MATCH(G94,Events!$G:$G,0)),"")</f>
        <v/>
      </c>
      <c r="I94" s="124">
        <f>IF(G94="",IF(WEEKDAY($D$7,1)=MOD(startday+1,7)+1,$D$7,""),G94+1)</f>
        <v>45931</v>
      </c>
      <c r="J94" s="125" t="s">
        <v>141</v>
      </c>
      <c r="K94" s="114">
        <f>IF(I94="","",IF(MONTH(I94+1)&lt;&gt;MONTH(I94),"",I94+1))</f>
        <v>45932</v>
      </c>
      <c r="L94" s="52" t="str">
        <f>IFERROR(INDEX(Events!$A:$A,MATCH(K94,Events!$G:$G,0)),"")</f>
        <v>Yom Kippur</v>
      </c>
      <c r="M94" s="50">
        <f>IF(K94="","",IF(MONTH(K94+1)&lt;&gt;MONTH(K94),"",K94+1))</f>
        <v>45933</v>
      </c>
      <c r="N94" s="52" t="str">
        <f>IFERROR(INDEX(Events!$A:$A,MATCH(M94,Events!$G:$G,0)),"")</f>
        <v/>
      </c>
      <c r="O94" s="50">
        <f>IF(M94="","",IF(MONTH(M94+1)&lt;&gt;MONTH(M94),"",M94+1))</f>
        <v>45934</v>
      </c>
      <c r="P94" s="52" t="str">
        <f>IFERROR(INDEX(Events!$A:$A,MATCH(O94,Events!$G:$G,0)),"")</f>
        <v/>
      </c>
      <c r="R94" s="184" t="s">
        <v>140</v>
      </c>
    </row>
    <row r="95" spans="1:18" x14ac:dyDescent="0.25">
      <c r="A95" s="143"/>
      <c r="C95" s="156" t="s">
        <v>177</v>
      </c>
      <c r="D95" s="157"/>
      <c r="E95" s="155" t="s">
        <v>177</v>
      </c>
      <c r="F95" s="155"/>
      <c r="G95" s="156" t="s">
        <v>177</v>
      </c>
      <c r="H95" s="155"/>
      <c r="I95" s="205" t="s">
        <v>116</v>
      </c>
      <c r="J95" s="206" t="str">
        <f>IFERROR(INDEX([1]Events!#REF!,MATCH(I95,[1]Events!G:G,0)),"")</f>
        <v/>
      </c>
      <c r="K95" s="153" t="s">
        <v>181</v>
      </c>
      <c r="L95" s="154"/>
      <c r="M95" s="104"/>
      <c r="N95" s="105"/>
      <c r="O95" s="104"/>
      <c r="P95" s="105"/>
      <c r="R95" s="184"/>
    </row>
    <row r="96" spans="1:18" s="54" customFormat="1" ht="10.199999999999999" customHeight="1" x14ac:dyDescent="0.2">
      <c r="A96" s="143"/>
      <c r="C96" s="160" t="s">
        <v>121</v>
      </c>
      <c r="D96" s="161"/>
      <c r="E96" s="162" t="s">
        <v>121</v>
      </c>
      <c r="F96" s="162"/>
      <c r="G96" s="160" t="s">
        <v>121</v>
      </c>
      <c r="H96" s="162"/>
      <c r="I96" s="221" t="s">
        <v>177</v>
      </c>
      <c r="J96" s="170"/>
      <c r="K96" s="165" t="str">
        <f ca="1">IFERROR(INDEX(Events!$A:$A,MATCH(K94,Events!$H:$H,0)),"")</f>
        <v/>
      </c>
      <c r="L96" s="147"/>
      <c r="M96" s="146" t="str">
        <f ca="1">IFERROR(INDEX(Events!$A:$A,MATCH(M94,Events!$H:$H,0)),"")</f>
        <v/>
      </c>
      <c r="N96" s="147"/>
      <c r="O96" s="146" t="str">
        <f ca="1">IFERROR(INDEX(Events!$A:$A,MATCH(O94,Events!$H:$H,0)),"")</f>
        <v/>
      </c>
      <c r="P96" s="147"/>
      <c r="R96" s="184"/>
    </row>
    <row r="97" spans="1:18" s="54" customFormat="1" ht="10.199999999999999" customHeight="1" x14ac:dyDescent="0.2">
      <c r="A97" s="143"/>
      <c r="C97" s="163" t="s">
        <v>120</v>
      </c>
      <c r="D97" s="164"/>
      <c r="E97" s="165" t="s">
        <v>120</v>
      </c>
      <c r="F97" s="165"/>
      <c r="G97" s="163" t="s">
        <v>120</v>
      </c>
      <c r="H97" s="165"/>
      <c r="I97" s="205" t="s">
        <v>123</v>
      </c>
      <c r="J97" s="206"/>
      <c r="K97" s="165" t="str">
        <f ca="1">IFERROR(INDEX(Events!$A:$A,MATCH(K94,Events!$I:$I,0)),"")</f>
        <v/>
      </c>
      <c r="L97" s="147"/>
      <c r="M97" s="146" t="str">
        <f ca="1">IFERROR(INDEX(Events!$A:$A,MATCH(M94,Events!$I:$I,0)),"")</f>
        <v/>
      </c>
      <c r="N97" s="147"/>
      <c r="O97" s="146" t="str">
        <f ca="1">IFERROR(INDEX(Events!$A:$A,MATCH(O94,Events!$I:$I,0)),"")</f>
        <v/>
      </c>
      <c r="P97" s="147"/>
      <c r="R97" s="184"/>
    </row>
    <row r="98" spans="1:18" s="54" customFormat="1" ht="10.199999999999999" customHeight="1" x14ac:dyDescent="0.2">
      <c r="A98" s="143"/>
      <c r="C98" s="180" t="str">
        <f ca="1">IFERROR(INDEX(Events!$A:$A,MATCH(C94,Events!$J:$J,0)),"")</f>
        <v/>
      </c>
      <c r="D98" s="181"/>
      <c r="E98" s="180" t="str">
        <f ca="1">IFERROR(INDEX(Events!$A:$A,MATCH(E94,Events!$J:$J,0)),"")</f>
        <v/>
      </c>
      <c r="F98" s="181"/>
      <c r="G98" s="180" t="str">
        <f ca="1">IFERROR(INDEX(Events!$A:$A,MATCH(G94,Events!$J:$J,0)),"")</f>
        <v/>
      </c>
      <c r="H98" s="182"/>
      <c r="I98" s="207" t="str">
        <f ca="1">IFERROR(INDEX(Events!$A:$A,MATCH(I94,Events!$J:$J,0)),"")</f>
        <v/>
      </c>
      <c r="J98" s="208"/>
      <c r="K98" s="182" t="str">
        <f ca="1">IFERROR(INDEX(Events!$A:$A,MATCH(K94,Events!$J:$J,0)),"")</f>
        <v/>
      </c>
      <c r="L98" s="181"/>
      <c r="M98" s="180" t="str">
        <f ca="1">IFERROR(INDEX(Events!$A:$A,MATCH(M94,Events!$J:$J,0)),"")</f>
        <v/>
      </c>
      <c r="N98" s="181"/>
      <c r="O98" s="180" t="str">
        <f ca="1">IFERROR(INDEX(Events!$A:$A,MATCH(O94,Events!$J:$J,0)),"")</f>
        <v/>
      </c>
      <c r="P98" s="181"/>
      <c r="R98" s="184"/>
    </row>
    <row r="99" spans="1:18" x14ac:dyDescent="0.25">
      <c r="A99" s="143"/>
      <c r="C99" s="50">
        <f>IF(O94="","",IF(MONTH(O94+1)&lt;&gt;MONTH(O94),"",O94+1))</f>
        <v>45935</v>
      </c>
      <c r="D99" s="52" t="str">
        <f>IFERROR(INDEX(Events!$A:$A,MATCH(C99,Events!$G:$G,0)),"")</f>
        <v/>
      </c>
      <c r="E99" s="50">
        <f>IF(C99="","",IF(MONTH(C99+1)&lt;&gt;MONTH(C99),"",C99+1))</f>
        <v>45936</v>
      </c>
      <c r="F99" s="52" t="str">
        <f>IFERROR(INDEX(Events!$A:$A,MATCH(E99,Events!$G:$G,0)),"")</f>
        <v/>
      </c>
      <c r="G99" s="51"/>
      <c r="H99" s="5"/>
      <c r="I99" s="5"/>
      <c r="J99" s="5"/>
      <c r="K99" s="5"/>
      <c r="L99" s="5"/>
      <c r="R99" s="184"/>
    </row>
    <row r="100" spans="1:18" s="54" customFormat="1" ht="10.199999999999999" x14ac:dyDescent="0.2">
      <c r="A100" s="143"/>
      <c r="C100" s="146" t="str">
        <f ca="1">IFERROR(INDEX(Events!$A:$A,MATCH(C99,Events!$H:$H,0)),"")</f>
        <v/>
      </c>
      <c r="D100" s="147"/>
      <c r="E100" s="146" t="str">
        <f ca="1">IFERROR(INDEX(Events!$A:$A,MATCH(E99,Events!$H:$H,0)),"")</f>
        <v/>
      </c>
      <c r="F100" s="147"/>
      <c r="G100" s="59"/>
      <c r="H100" s="3"/>
      <c r="I100" s="3"/>
      <c r="J100" s="3"/>
      <c r="K100" s="3"/>
      <c r="L100" s="3"/>
      <c r="R100" s="184"/>
    </row>
    <row r="101" spans="1:18" s="54" customFormat="1" ht="10.199999999999999" x14ac:dyDescent="0.2">
      <c r="A101" s="143"/>
      <c r="C101" s="146" t="str">
        <f ca="1">IFERROR(INDEX(Events!$A:$A,MATCH(C99,Events!$I:$I,0)),"")</f>
        <v/>
      </c>
      <c r="D101" s="147"/>
      <c r="E101" s="146" t="str">
        <f ca="1">IFERROR(INDEX(Events!$A:$A,MATCH(E99,Events!$I:$I,0)),"")</f>
        <v/>
      </c>
      <c r="F101" s="147"/>
      <c r="G101" s="59"/>
      <c r="H101" s="3"/>
      <c r="I101" s="3"/>
      <c r="J101" s="3"/>
      <c r="K101" s="3"/>
      <c r="L101" s="3"/>
      <c r="P101" s="60" t="s">
        <v>93</v>
      </c>
      <c r="R101" s="184"/>
    </row>
    <row r="102" spans="1:18" s="54" customFormat="1" ht="10.199999999999999" x14ac:dyDescent="0.2">
      <c r="A102" s="143"/>
      <c r="C102" s="180" t="str">
        <f ca="1">IFERROR(INDEX(Events!$A:$A,MATCH(C99,Events!$J:$J,0)),"")</f>
        <v/>
      </c>
      <c r="D102" s="181"/>
      <c r="E102" s="180" t="str">
        <f ca="1">IFERROR(INDEX(Events!$A:$A,MATCH(E99,Events!$J:$J,0)),"")</f>
        <v/>
      </c>
      <c r="F102" s="181"/>
      <c r="G102" s="59"/>
      <c r="H102" s="3"/>
      <c r="I102" s="3"/>
      <c r="J102" s="3"/>
      <c r="K102" s="3"/>
      <c r="L102" s="3"/>
      <c r="P102" s="60" t="s">
        <v>92</v>
      </c>
      <c r="R102" s="184"/>
    </row>
  </sheetData>
  <mergeCells count="472">
    <mergeCell ref="R61:R65"/>
    <mergeCell ref="R74:R78"/>
    <mergeCell ref="R79:R83"/>
    <mergeCell ref="R84:R88"/>
    <mergeCell ref="R89:R93"/>
    <mergeCell ref="R94:R98"/>
    <mergeCell ref="R99:R102"/>
    <mergeCell ref="R9:R13"/>
    <mergeCell ref="R14:R18"/>
    <mergeCell ref="R19:R23"/>
    <mergeCell ref="R24:R28"/>
    <mergeCell ref="R29:R33"/>
    <mergeCell ref="R41:R45"/>
    <mergeCell ref="R46:R50"/>
    <mergeCell ref="R51:R55"/>
    <mergeCell ref="R56:R60"/>
    <mergeCell ref="I5:P6"/>
    <mergeCell ref="C8:D8"/>
    <mergeCell ref="E8:F8"/>
    <mergeCell ref="G8:H8"/>
    <mergeCell ref="I8:J8"/>
    <mergeCell ref="K8:L8"/>
    <mergeCell ref="M8:N8"/>
    <mergeCell ref="O8:P8"/>
    <mergeCell ref="O11:P11"/>
    <mergeCell ref="G10:H10"/>
    <mergeCell ref="I10:J10"/>
    <mergeCell ref="K10:L10"/>
    <mergeCell ref="M10:N10"/>
    <mergeCell ref="O10:P10"/>
    <mergeCell ref="G12:H12"/>
    <mergeCell ref="I12:J12"/>
    <mergeCell ref="K12:L12"/>
    <mergeCell ref="M12:N12"/>
    <mergeCell ref="O12:P12"/>
    <mergeCell ref="C11:D11"/>
    <mergeCell ref="E11:F11"/>
    <mergeCell ref="G11:H11"/>
    <mergeCell ref="I11:J11"/>
    <mergeCell ref="K11:L11"/>
    <mergeCell ref="M11:N11"/>
    <mergeCell ref="O13:P13"/>
    <mergeCell ref="C16:D16"/>
    <mergeCell ref="E16:F16"/>
    <mergeCell ref="G16:H16"/>
    <mergeCell ref="I16:J16"/>
    <mergeCell ref="K16:L16"/>
    <mergeCell ref="M16:N16"/>
    <mergeCell ref="O16:P16"/>
    <mergeCell ref="C13:D13"/>
    <mergeCell ref="E13:F13"/>
    <mergeCell ref="G13:H13"/>
    <mergeCell ref="I13:J13"/>
    <mergeCell ref="K13:L13"/>
    <mergeCell ref="M13:N13"/>
    <mergeCell ref="G15:H15"/>
    <mergeCell ref="I15:J15"/>
    <mergeCell ref="K15:L15"/>
    <mergeCell ref="M15:N15"/>
    <mergeCell ref="O15:P15"/>
    <mergeCell ref="O17:P17"/>
    <mergeCell ref="C18:D18"/>
    <mergeCell ref="E18:F18"/>
    <mergeCell ref="G18:H18"/>
    <mergeCell ref="I18:J18"/>
    <mergeCell ref="K18:L18"/>
    <mergeCell ref="M18:N18"/>
    <mergeCell ref="O18:P18"/>
    <mergeCell ref="C17:D17"/>
    <mergeCell ref="E17:F17"/>
    <mergeCell ref="G17:H17"/>
    <mergeCell ref="I17:J17"/>
    <mergeCell ref="K17:L17"/>
    <mergeCell ref="M17:N17"/>
    <mergeCell ref="C22:D22"/>
    <mergeCell ref="E22:F22"/>
    <mergeCell ref="G22:H22"/>
    <mergeCell ref="I22:J22"/>
    <mergeCell ref="K22:L22"/>
    <mergeCell ref="M22:N22"/>
    <mergeCell ref="O22:P22"/>
    <mergeCell ref="C21:D21"/>
    <mergeCell ref="E21:F21"/>
    <mergeCell ref="G21:H21"/>
    <mergeCell ref="I21:J21"/>
    <mergeCell ref="K21:L21"/>
    <mergeCell ref="M21:N21"/>
    <mergeCell ref="C26:D26"/>
    <mergeCell ref="E26:F26"/>
    <mergeCell ref="G26:H26"/>
    <mergeCell ref="I26:J26"/>
    <mergeCell ref="K26:L26"/>
    <mergeCell ref="M26:N26"/>
    <mergeCell ref="O26:P26"/>
    <mergeCell ref="C23:D23"/>
    <mergeCell ref="E23:F23"/>
    <mergeCell ref="G23:H23"/>
    <mergeCell ref="I23:J23"/>
    <mergeCell ref="K23:L23"/>
    <mergeCell ref="M23:N23"/>
    <mergeCell ref="O27:P27"/>
    <mergeCell ref="C28:D28"/>
    <mergeCell ref="E28:F28"/>
    <mergeCell ref="G28:H28"/>
    <mergeCell ref="I28:J28"/>
    <mergeCell ref="K28:L28"/>
    <mergeCell ref="M28:N28"/>
    <mergeCell ref="O28:P28"/>
    <mergeCell ref="C27:D27"/>
    <mergeCell ref="E27:F27"/>
    <mergeCell ref="G27:H27"/>
    <mergeCell ref="I27:J27"/>
    <mergeCell ref="K27:L27"/>
    <mergeCell ref="M27:N27"/>
    <mergeCell ref="O31:P31"/>
    <mergeCell ref="C32:D32"/>
    <mergeCell ref="E32:F32"/>
    <mergeCell ref="G32:H32"/>
    <mergeCell ref="I32:J32"/>
    <mergeCell ref="K32:L32"/>
    <mergeCell ref="M32:N32"/>
    <mergeCell ref="O32:P32"/>
    <mergeCell ref="C31:D31"/>
    <mergeCell ref="E31:F31"/>
    <mergeCell ref="G31:H31"/>
    <mergeCell ref="I31:J31"/>
    <mergeCell ref="K31:L31"/>
    <mergeCell ref="M31:N31"/>
    <mergeCell ref="O33:P33"/>
    <mergeCell ref="C35:D35"/>
    <mergeCell ref="E35:F35"/>
    <mergeCell ref="C36:D36"/>
    <mergeCell ref="E36:F36"/>
    <mergeCell ref="I36:P38"/>
    <mergeCell ref="C37:D37"/>
    <mergeCell ref="E37:F37"/>
    <mergeCell ref="C33:D33"/>
    <mergeCell ref="E33:F33"/>
    <mergeCell ref="G33:H33"/>
    <mergeCell ref="I33:J33"/>
    <mergeCell ref="K33:L33"/>
    <mergeCell ref="M33:N33"/>
    <mergeCell ref="O40:P40"/>
    <mergeCell ref="C43:D43"/>
    <mergeCell ref="E43:F43"/>
    <mergeCell ref="G43:H43"/>
    <mergeCell ref="I43:J43"/>
    <mergeCell ref="K43:L43"/>
    <mergeCell ref="M43:N43"/>
    <mergeCell ref="O43:P43"/>
    <mergeCell ref="C40:D40"/>
    <mergeCell ref="E40:F40"/>
    <mergeCell ref="G40:H40"/>
    <mergeCell ref="I40:J40"/>
    <mergeCell ref="K40:L40"/>
    <mergeCell ref="M40:N40"/>
    <mergeCell ref="O42:P42"/>
    <mergeCell ref="O44:P44"/>
    <mergeCell ref="C45:D45"/>
    <mergeCell ref="E45:F45"/>
    <mergeCell ref="G45:H45"/>
    <mergeCell ref="I45:J45"/>
    <mergeCell ref="K45:L45"/>
    <mergeCell ref="M45:N45"/>
    <mergeCell ref="O45:P45"/>
    <mergeCell ref="C44:D44"/>
    <mergeCell ref="E44:F44"/>
    <mergeCell ref="G44:H44"/>
    <mergeCell ref="I44:J44"/>
    <mergeCell ref="K44:L44"/>
    <mergeCell ref="M44:N44"/>
    <mergeCell ref="O48:P48"/>
    <mergeCell ref="C49:D49"/>
    <mergeCell ref="E49:F49"/>
    <mergeCell ref="G49:H49"/>
    <mergeCell ref="I49:J49"/>
    <mergeCell ref="K49:L49"/>
    <mergeCell ref="M49:N49"/>
    <mergeCell ref="O49:P49"/>
    <mergeCell ref="C48:D48"/>
    <mergeCell ref="E48:F48"/>
    <mergeCell ref="G48:H48"/>
    <mergeCell ref="I48:J48"/>
    <mergeCell ref="K48:L48"/>
    <mergeCell ref="M48:N48"/>
    <mergeCell ref="E54:F54"/>
    <mergeCell ref="G54:H54"/>
    <mergeCell ref="I54:J54"/>
    <mergeCell ref="K54:L54"/>
    <mergeCell ref="M54:N54"/>
    <mergeCell ref="O50:P50"/>
    <mergeCell ref="C53:D53"/>
    <mergeCell ref="E53:F53"/>
    <mergeCell ref="G53:H53"/>
    <mergeCell ref="I53:J53"/>
    <mergeCell ref="K53:L53"/>
    <mergeCell ref="M53:N53"/>
    <mergeCell ref="O53:P53"/>
    <mergeCell ref="C50:D50"/>
    <mergeCell ref="E50:F50"/>
    <mergeCell ref="G50:H50"/>
    <mergeCell ref="I50:J50"/>
    <mergeCell ref="K50:L50"/>
    <mergeCell ref="M50:N50"/>
    <mergeCell ref="O58:P58"/>
    <mergeCell ref="C59:D59"/>
    <mergeCell ref="E59:F59"/>
    <mergeCell ref="G59:H59"/>
    <mergeCell ref="I59:J59"/>
    <mergeCell ref="K59:L59"/>
    <mergeCell ref="M59:N59"/>
    <mergeCell ref="O59:P59"/>
    <mergeCell ref="C58:D58"/>
    <mergeCell ref="E58:F58"/>
    <mergeCell ref="G58:H58"/>
    <mergeCell ref="I58:J58"/>
    <mergeCell ref="K58:L58"/>
    <mergeCell ref="M58:N58"/>
    <mergeCell ref="O60:P60"/>
    <mergeCell ref="C63:D63"/>
    <mergeCell ref="E63:F63"/>
    <mergeCell ref="G63:H63"/>
    <mergeCell ref="I63:J63"/>
    <mergeCell ref="K63:L63"/>
    <mergeCell ref="M63:N63"/>
    <mergeCell ref="O63:P63"/>
    <mergeCell ref="C60:D60"/>
    <mergeCell ref="E60:F60"/>
    <mergeCell ref="G60:H60"/>
    <mergeCell ref="I60:J60"/>
    <mergeCell ref="K60:L60"/>
    <mergeCell ref="M60:N60"/>
    <mergeCell ref="C62:D62"/>
    <mergeCell ref="E62:F62"/>
    <mergeCell ref="G62:H62"/>
    <mergeCell ref="I62:J62"/>
    <mergeCell ref="K62:L62"/>
    <mergeCell ref="M62:N62"/>
    <mergeCell ref="O62:P62"/>
    <mergeCell ref="I69:P71"/>
    <mergeCell ref="C70:D70"/>
    <mergeCell ref="E70:F70"/>
    <mergeCell ref="O64:P64"/>
    <mergeCell ref="C65:D65"/>
    <mergeCell ref="E65:F65"/>
    <mergeCell ref="G65:H65"/>
    <mergeCell ref="I65:J65"/>
    <mergeCell ref="K65:L65"/>
    <mergeCell ref="M65:N65"/>
    <mergeCell ref="O65:P65"/>
    <mergeCell ref="C64:D64"/>
    <mergeCell ref="E64:F64"/>
    <mergeCell ref="G64:H64"/>
    <mergeCell ref="I64:J64"/>
    <mergeCell ref="K64:L64"/>
    <mergeCell ref="M64:N64"/>
    <mergeCell ref="C67:D67"/>
    <mergeCell ref="O73:P73"/>
    <mergeCell ref="C76:D76"/>
    <mergeCell ref="E76:F76"/>
    <mergeCell ref="G76:H76"/>
    <mergeCell ref="I76:J76"/>
    <mergeCell ref="K76:L76"/>
    <mergeCell ref="M76:N76"/>
    <mergeCell ref="O76:P76"/>
    <mergeCell ref="C73:D73"/>
    <mergeCell ref="E73:F73"/>
    <mergeCell ref="G73:H73"/>
    <mergeCell ref="I73:J73"/>
    <mergeCell ref="K73:L73"/>
    <mergeCell ref="M73:N73"/>
    <mergeCell ref="E75:F75"/>
    <mergeCell ref="G75:H75"/>
    <mergeCell ref="I75:J75"/>
    <mergeCell ref="K75:L75"/>
    <mergeCell ref="M75:N75"/>
    <mergeCell ref="O75:P75"/>
    <mergeCell ref="O77:P77"/>
    <mergeCell ref="C78:D78"/>
    <mergeCell ref="E78:F78"/>
    <mergeCell ref="G78:H78"/>
    <mergeCell ref="I78:J78"/>
    <mergeCell ref="K78:L78"/>
    <mergeCell ref="M78:N78"/>
    <mergeCell ref="O78:P78"/>
    <mergeCell ref="C77:D77"/>
    <mergeCell ref="E77:F77"/>
    <mergeCell ref="G77:H77"/>
    <mergeCell ref="I77:J77"/>
    <mergeCell ref="K77:L77"/>
    <mergeCell ref="M77:N77"/>
    <mergeCell ref="O81:P81"/>
    <mergeCell ref="C82:D82"/>
    <mergeCell ref="E82:F82"/>
    <mergeCell ref="G82:H82"/>
    <mergeCell ref="I82:J82"/>
    <mergeCell ref="K82:L82"/>
    <mergeCell ref="M82:N82"/>
    <mergeCell ref="O82:P82"/>
    <mergeCell ref="C81:D81"/>
    <mergeCell ref="E81:F81"/>
    <mergeCell ref="G81:H81"/>
    <mergeCell ref="I81:J81"/>
    <mergeCell ref="K81:L81"/>
    <mergeCell ref="M81:N81"/>
    <mergeCell ref="O83:P83"/>
    <mergeCell ref="C86:D86"/>
    <mergeCell ref="E86:F86"/>
    <mergeCell ref="G86:H86"/>
    <mergeCell ref="I86:J86"/>
    <mergeCell ref="K86:L86"/>
    <mergeCell ref="M86:N86"/>
    <mergeCell ref="O86:P86"/>
    <mergeCell ref="C83:D83"/>
    <mergeCell ref="E83:F83"/>
    <mergeCell ref="G83:H83"/>
    <mergeCell ref="I83:J83"/>
    <mergeCell ref="K83:L83"/>
    <mergeCell ref="M83:N83"/>
    <mergeCell ref="O87:P87"/>
    <mergeCell ref="C88:D88"/>
    <mergeCell ref="E88:F88"/>
    <mergeCell ref="G88:H88"/>
    <mergeCell ref="I88:J88"/>
    <mergeCell ref="K88:L88"/>
    <mergeCell ref="M88:N88"/>
    <mergeCell ref="O88:P88"/>
    <mergeCell ref="C87:D87"/>
    <mergeCell ref="E87:F87"/>
    <mergeCell ref="G87:H87"/>
    <mergeCell ref="I87:J87"/>
    <mergeCell ref="K87:L87"/>
    <mergeCell ref="M87:N87"/>
    <mergeCell ref="O91:P91"/>
    <mergeCell ref="C92:D92"/>
    <mergeCell ref="E92:F92"/>
    <mergeCell ref="G92:H92"/>
    <mergeCell ref="I92:J92"/>
    <mergeCell ref="K92:L92"/>
    <mergeCell ref="M92:N92"/>
    <mergeCell ref="O92:P92"/>
    <mergeCell ref="C91:D91"/>
    <mergeCell ref="E91:F91"/>
    <mergeCell ref="G91:H91"/>
    <mergeCell ref="I91:J91"/>
    <mergeCell ref="K91:L91"/>
    <mergeCell ref="M91:N91"/>
    <mergeCell ref="O93:P93"/>
    <mergeCell ref="C96:D96"/>
    <mergeCell ref="E96:F96"/>
    <mergeCell ref="G96:H96"/>
    <mergeCell ref="I96:J96"/>
    <mergeCell ref="K96:L96"/>
    <mergeCell ref="M96:N96"/>
    <mergeCell ref="O96:P96"/>
    <mergeCell ref="C93:D93"/>
    <mergeCell ref="E93:F93"/>
    <mergeCell ref="G93:H93"/>
    <mergeCell ref="I93:J93"/>
    <mergeCell ref="K93:L93"/>
    <mergeCell ref="M93:N93"/>
    <mergeCell ref="I95:J95"/>
    <mergeCell ref="K95:L95"/>
    <mergeCell ref="O97:P97"/>
    <mergeCell ref="C98:D98"/>
    <mergeCell ref="E98:F98"/>
    <mergeCell ref="G98:H98"/>
    <mergeCell ref="I98:J98"/>
    <mergeCell ref="K98:L98"/>
    <mergeCell ref="M98:N98"/>
    <mergeCell ref="O98:P98"/>
    <mergeCell ref="C97:D97"/>
    <mergeCell ref="E97:F97"/>
    <mergeCell ref="G97:H97"/>
    <mergeCell ref="I97:J97"/>
    <mergeCell ref="K97:L97"/>
    <mergeCell ref="M97:N97"/>
    <mergeCell ref="A8:A33"/>
    <mergeCell ref="A40:A65"/>
    <mergeCell ref="A73:A98"/>
    <mergeCell ref="A99:A102"/>
    <mergeCell ref="C100:D100"/>
    <mergeCell ref="E100:F100"/>
    <mergeCell ref="C101:D101"/>
    <mergeCell ref="E101:F101"/>
    <mergeCell ref="C102:D102"/>
    <mergeCell ref="E102:F102"/>
    <mergeCell ref="C68:D68"/>
    <mergeCell ref="E68:F68"/>
    <mergeCell ref="C69:D69"/>
    <mergeCell ref="E69:F69"/>
    <mergeCell ref="C12:D12"/>
    <mergeCell ref="E12:F12"/>
    <mergeCell ref="C15:D15"/>
    <mergeCell ref="E15:F15"/>
    <mergeCell ref="C20:D20"/>
    <mergeCell ref="C25:D25"/>
    <mergeCell ref="C30:D30"/>
    <mergeCell ref="E20:F20"/>
    <mergeCell ref="E25:F25"/>
    <mergeCell ref="E30:F30"/>
    <mergeCell ref="G20:H20"/>
    <mergeCell ref="I20:J20"/>
    <mergeCell ref="K20:L20"/>
    <mergeCell ref="M20:N20"/>
    <mergeCell ref="O20:P20"/>
    <mergeCell ref="G25:H25"/>
    <mergeCell ref="I25:J25"/>
    <mergeCell ref="K25:L25"/>
    <mergeCell ref="M25:N25"/>
    <mergeCell ref="O25:P25"/>
    <mergeCell ref="O23:P23"/>
    <mergeCell ref="O21:P21"/>
    <mergeCell ref="G30:H30"/>
    <mergeCell ref="I30:J30"/>
    <mergeCell ref="K30:L30"/>
    <mergeCell ref="C47:D47"/>
    <mergeCell ref="E47:F47"/>
    <mergeCell ref="G47:H47"/>
    <mergeCell ref="I47:J47"/>
    <mergeCell ref="K47:L47"/>
    <mergeCell ref="M47:N47"/>
    <mergeCell ref="M42:N42"/>
    <mergeCell ref="M30:N30"/>
    <mergeCell ref="O47:P47"/>
    <mergeCell ref="C52:D52"/>
    <mergeCell ref="E52:F52"/>
    <mergeCell ref="G52:H52"/>
    <mergeCell ref="I52:J52"/>
    <mergeCell ref="K52:L52"/>
    <mergeCell ref="M52:N52"/>
    <mergeCell ref="O52:P52"/>
    <mergeCell ref="C57:D57"/>
    <mergeCell ref="E57:F57"/>
    <mergeCell ref="G57:H57"/>
    <mergeCell ref="I57:J57"/>
    <mergeCell ref="K57:L57"/>
    <mergeCell ref="M57:N57"/>
    <mergeCell ref="O57:P57"/>
    <mergeCell ref="O54:P54"/>
    <mergeCell ref="C55:D55"/>
    <mergeCell ref="E55:F55"/>
    <mergeCell ref="G55:H55"/>
    <mergeCell ref="I55:J55"/>
    <mergeCell ref="K55:L55"/>
    <mergeCell ref="M55:N55"/>
    <mergeCell ref="O55:P55"/>
    <mergeCell ref="C54:D54"/>
    <mergeCell ref="E90:F90"/>
    <mergeCell ref="G90:H90"/>
    <mergeCell ref="I90:J90"/>
    <mergeCell ref="K90:L90"/>
    <mergeCell ref="M90:N90"/>
    <mergeCell ref="O90:P90"/>
    <mergeCell ref="E95:F95"/>
    <mergeCell ref="G95:H95"/>
    <mergeCell ref="C80:D80"/>
    <mergeCell ref="C85:D85"/>
    <mergeCell ref="C90:D90"/>
    <mergeCell ref="C95:D95"/>
    <mergeCell ref="E80:F80"/>
    <mergeCell ref="G80:H80"/>
    <mergeCell ref="I80:J80"/>
    <mergeCell ref="K80:L80"/>
    <mergeCell ref="M80:N80"/>
    <mergeCell ref="O80:P80"/>
    <mergeCell ref="E85:F85"/>
    <mergeCell ref="G85:H85"/>
    <mergeCell ref="I85:J85"/>
    <mergeCell ref="K85:L85"/>
    <mergeCell ref="M85:N85"/>
    <mergeCell ref="O85:P85"/>
  </mergeCells>
  <conditionalFormatting sqref="D51">
    <cfRule type="expression" dxfId="410" priority="5">
      <formula>C51=""</formula>
    </cfRule>
  </conditionalFormatting>
  <conditionalFormatting sqref="E50:F50">
    <cfRule type="expression" dxfId="409" priority="2">
      <formula>E49=""</formula>
    </cfRule>
  </conditionalFormatting>
  <conditionalFormatting sqref="F46">
    <cfRule type="expression" dxfId="408" priority="20">
      <formula>E46=""</formula>
    </cfRule>
  </conditionalFormatting>
  <conditionalFormatting sqref="F51">
    <cfRule type="expression" dxfId="407" priority="4">
      <formula>E51=""</formula>
    </cfRule>
  </conditionalFormatting>
  <conditionalFormatting sqref="F79">
    <cfRule type="expression" dxfId="406" priority="10">
      <formula>E79=""</formula>
    </cfRule>
  </conditionalFormatting>
  <conditionalFormatting sqref="G55:J55">
    <cfRule type="expression" dxfId="405" priority="23">
      <formula>G54=""</formula>
    </cfRule>
  </conditionalFormatting>
  <conditionalFormatting sqref="G78:J78">
    <cfRule type="expression" dxfId="404" priority="1">
      <formula>G77=""</formula>
    </cfRule>
  </conditionalFormatting>
  <conditionalFormatting sqref="H46">
    <cfRule type="expression" dxfId="403" priority="19">
      <formula>G46=""</formula>
    </cfRule>
  </conditionalFormatting>
  <conditionalFormatting sqref="H51">
    <cfRule type="expression" dxfId="402" priority="3">
      <formula>G51=""</formula>
    </cfRule>
  </conditionalFormatting>
  <conditionalFormatting sqref="H74">
    <cfRule type="expression" dxfId="401" priority="15">
      <formula>G74=""</formula>
    </cfRule>
  </conditionalFormatting>
  <conditionalFormatting sqref="H79">
    <cfRule type="expression" dxfId="400" priority="9">
      <formula>G79=""</formula>
    </cfRule>
  </conditionalFormatting>
  <conditionalFormatting sqref="J46">
    <cfRule type="expression" dxfId="399" priority="18">
      <formula>I46=""</formula>
    </cfRule>
  </conditionalFormatting>
  <conditionalFormatting sqref="J74">
    <cfRule type="expression" dxfId="398" priority="13">
      <formula>I74=""</formula>
    </cfRule>
  </conditionalFormatting>
  <conditionalFormatting sqref="J79">
    <cfRule type="expression" dxfId="397" priority="8">
      <formula>I79=""</formula>
    </cfRule>
  </conditionalFormatting>
  <conditionalFormatting sqref="K83:N83">
    <cfRule type="expression" dxfId="396" priority="24">
      <formula>K82=""</formula>
    </cfRule>
  </conditionalFormatting>
  <conditionalFormatting sqref="L46">
    <cfRule type="expression" dxfId="395" priority="17">
      <formula>K46=""</formula>
    </cfRule>
  </conditionalFormatting>
  <conditionalFormatting sqref="L74">
    <cfRule type="expression" dxfId="394" priority="12">
      <formula>K74=""</formula>
    </cfRule>
  </conditionalFormatting>
  <conditionalFormatting sqref="L79">
    <cfRule type="expression" dxfId="393" priority="7">
      <formula>K79=""</formula>
    </cfRule>
  </conditionalFormatting>
  <conditionalFormatting sqref="M45:N45">
    <cfRule type="expression" dxfId="392" priority="21">
      <formula>M44=""</formula>
    </cfRule>
  </conditionalFormatting>
  <conditionalFormatting sqref="M50:N50">
    <cfRule type="expression" dxfId="391" priority="25">
      <formula>M49=""</formula>
    </cfRule>
  </conditionalFormatting>
  <conditionalFormatting sqref="N41">
    <cfRule type="expression" dxfId="390" priority="22">
      <formula>M41=""</formula>
    </cfRule>
  </conditionalFormatting>
  <conditionalFormatting sqref="N46">
    <cfRule type="expression" dxfId="389" priority="16">
      <formula>M46=""</formula>
    </cfRule>
  </conditionalFormatting>
  <conditionalFormatting sqref="N74">
    <cfRule type="expression" dxfId="388" priority="11">
      <formula>M74=""</formula>
    </cfRule>
  </conditionalFormatting>
  <conditionalFormatting sqref="N79">
    <cfRule type="expression" dxfId="387" priority="6">
      <formula>M79=""</formula>
    </cfRule>
  </conditionalFormatting>
  <printOptions horizontalCentered="1"/>
  <pageMargins left="0.35" right="0.35" top="0.25" bottom="0.4" header="0.25" footer="0.25"/>
  <pageSetup scale="81" orientation="portrait" r:id="rId1"/>
  <ignoredErrors>
    <ignoredError sqref="E33:P39 E102:P104 E101:O101 E98:P100 E68:P72 E11:F13 I11:P13 P9 E9:F9 O14:P14 E19:P19 E24:P24 E29:P29 E41:M41 E46 E51 E56:P56 E60:P61 E65:P66 E74:G74 E79 E84:P84 E88:P89 E93:P93 G16:H16 O21:P21 O26:P26 O31:P31 O17:P17 O16:P16 E18:J18 O18:P18 O22:P22 O27:P27 O32:P32 O48:P49 O53:P54 O58:P59 O81:P82 K96:P97 E94:H94 K94:P94 E43:L45 O43:P45 O28:P28 O23:P23 O76:P77 G50:L50 O50:P50 E83:J83 O83:P83 E55:F55 K55:P55 O41:P41 G46 I46 K46 M46 O46:P46 I74 E78:F78 K78:P78 K74 M74 O74:P74 G79 I79 K79 M79 O79:P79 G51 I51:P5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01"/>
  <sheetViews>
    <sheetView showGridLines="0" topLeftCell="A4" zoomScaleNormal="100" workbookViewId="0">
      <selection activeCell="I25" sqref="I25:J25"/>
    </sheetView>
  </sheetViews>
  <sheetFormatPr defaultColWidth="8.88671875" defaultRowHeight="13.2" x14ac:dyDescent="0.25"/>
  <cols>
    <col min="2" max="2" width="2.77734375" customWidth="1"/>
    <col min="3" max="3" width="4.33203125" customWidth="1"/>
    <col min="4" max="4" width="8.33203125" customWidth="1"/>
    <col min="5" max="5" width="4.33203125" customWidth="1"/>
    <col min="6" max="6" width="8.33203125" customWidth="1"/>
    <col min="7" max="7" width="4.33203125" customWidth="1"/>
    <col min="8" max="8" width="8.33203125" customWidth="1"/>
    <col min="9" max="9" width="4.33203125" customWidth="1"/>
    <col min="10" max="10" width="8.33203125" customWidth="1"/>
    <col min="11" max="11" width="4.33203125" customWidth="1"/>
    <col min="12" max="12" width="8.33203125" customWidth="1"/>
    <col min="13" max="13" width="4.33203125" customWidth="1"/>
    <col min="14" max="14" width="8.33203125" customWidth="1"/>
    <col min="15" max="15" width="4.33203125" customWidth="1"/>
    <col min="16" max="16" width="8.33203125" customWidth="1"/>
    <col min="17" max="17" width="3.5546875" customWidth="1"/>
    <col min="18" max="18" width="8.88671875" style="100"/>
  </cols>
  <sheetData>
    <row r="1" spans="1:18" hidden="1" x14ac:dyDescent="0.25">
      <c r="C1" s="4"/>
      <c r="D1" s="4"/>
      <c r="E1" s="4"/>
      <c r="F1" s="4"/>
      <c r="G1" s="4"/>
      <c r="H1" s="4"/>
      <c r="I1" s="4"/>
      <c r="J1" s="4"/>
      <c r="K1" s="4"/>
      <c r="L1" s="4"/>
      <c r="M1" s="4"/>
      <c r="N1" s="4"/>
      <c r="O1" s="4"/>
      <c r="P1" s="49"/>
    </row>
    <row r="2" spans="1:18" hidden="1" x14ac:dyDescent="0.25">
      <c r="C2" s="4"/>
      <c r="D2" s="4"/>
      <c r="E2" s="4"/>
      <c r="F2" s="4"/>
      <c r="G2" s="4"/>
      <c r="H2" s="4"/>
      <c r="I2" s="4"/>
      <c r="J2" s="4"/>
      <c r="K2" s="4"/>
      <c r="L2" s="4"/>
      <c r="M2" s="4"/>
      <c r="N2" s="4"/>
      <c r="O2" s="4"/>
      <c r="P2" s="49"/>
    </row>
    <row r="3" spans="1:18" hidden="1" x14ac:dyDescent="0.25">
      <c r="C3" s="4"/>
      <c r="D3" s="4"/>
      <c r="E3" s="4"/>
      <c r="F3" s="4"/>
      <c r="G3" s="4"/>
      <c r="H3" s="4"/>
      <c r="I3" s="4"/>
      <c r="J3" s="4"/>
      <c r="K3" s="4"/>
      <c r="L3" s="4"/>
      <c r="M3" s="4"/>
      <c r="N3" s="4"/>
      <c r="O3" s="4"/>
      <c r="P3" s="49"/>
    </row>
    <row r="4" spans="1:18" ht="16.2" customHeight="1" x14ac:dyDescent="0.25"/>
    <row r="5" spans="1:18" ht="23.4" customHeight="1" x14ac:dyDescent="0.25">
      <c r="C5" s="106" t="s">
        <v>122</v>
      </c>
      <c r="I5" s="142"/>
      <c r="J5" s="142"/>
      <c r="K5" s="142"/>
      <c r="L5" s="142"/>
      <c r="M5" s="142"/>
      <c r="N5" s="142"/>
      <c r="O5" s="142"/>
      <c r="P5" s="142"/>
    </row>
    <row r="6" spans="1:18" ht="13.2" customHeight="1" x14ac:dyDescent="0.25">
      <c r="D6" s="57"/>
      <c r="E6" s="57"/>
      <c r="F6" s="57"/>
      <c r="G6" s="57"/>
      <c r="H6" s="57"/>
      <c r="I6" s="142"/>
      <c r="J6" s="142"/>
      <c r="K6" s="142"/>
      <c r="L6" s="142"/>
      <c r="M6" s="142"/>
      <c r="N6" s="142"/>
      <c r="O6" s="142"/>
      <c r="P6" s="142"/>
    </row>
    <row r="7" spans="1:18" s="1" customFormat="1" ht="10.199999999999999" hidden="1" x14ac:dyDescent="0.2">
      <c r="C7" s="1" t="s">
        <v>1</v>
      </c>
      <c r="D7" s="6">
        <f>DATE(YEAR('Q1'!$D$7),MONTH('Q1'!$D$7)+3,1)</f>
        <v>45748</v>
      </c>
      <c r="R7" s="101"/>
    </row>
    <row r="8" spans="1:18" s="2" customFormat="1" ht="18" customHeight="1" x14ac:dyDescent="0.25">
      <c r="A8" s="143">
        <f>D7</f>
        <v>45748</v>
      </c>
      <c r="C8" s="144" t="s">
        <v>109</v>
      </c>
      <c r="D8" s="145"/>
      <c r="E8" s="144" t="s">
        <v>110</v>
      </c>
      <c r="F8" s="145"/>
      <c r="G8" s="144" t="s">
        <v>111</v>
      </c>
      <c r="H8" s="145"/>
      <c r="I8" s="144" t="s">
        <v>112</v>
      </c>
      <c r="J8" s="145"/>
      <c r="K8" s="144" t="s">
        <v>113</v>
      </c>
      <c r="L8" s="145"/>
      <c r="M8" s="144" t="s">
        <v>114</v>
      </c>
      <c r="N8" s="145"/>
      <c r="O8" s="144" t="s">
        <v>115</v>
      </c>
      <c r="P8" s="145"/>
      <c r="R8" s="96" t="s">
        <v>132</v>
      </c>
    </row>
    <row r="9" spans="1:18" s="2" customFormat="1" x14ac:dyDescent="0.25">
      <c r="A9" s="143"/>
      <c r="C9" s="50" t="str">
        <f>IF(WEEKDAY($D$7,1)=startday,$D$7,"")</f>
        <v/>
      </c>
      <c r="D9" s="52" t="str">
        <f>IFERROR(INDEX(Events!$A:$A,MATCH(C9,Events!$G:$G,0)),"")</f>
        <v/>
      </c>
      <c r="E9" s="50" t="str">
        <f>IF(C9="",IF(WEEKDAY($D$7,1)=MOD(startday,7)+1,$D$7,""),C9+1)</f>
        <v/>
      </c>
      <c r="F9" s="52" t="str">
        <f>IFERROR(INDEX(Events!$A:$A,MATCH(E9,Events!$G:$G,0)),"")</f>
        <v/>
      </c>
      <c r="G9" s="91">
        <f>IF(E9="",IF(WEEKDAY($D$7,1)=MOD(startday+1,7)+1,$D$7,""),E9+1)</f>
        <v>45748</v>
      </c>
      <c r="H9" s="92" t="s">
        <v>141</v>
      </c>
      <c r="I9" s="50">
        <f>IF(G9="",IF(WEEKDAY($D$7,1)=MOD(startday+2,7)+1,$D$7,""),G9+1)</f>
        <v>45749</v>
      </c>
      <c r="J9" s="97" t="s">
        <v>142</v>
      </c>
      <c r="K9" s="50">
        <f>IF(I9="",IF(WEEKDAY($D$7,1)=MOD(startday+3,7)+1,$D$7,""),I9+1)</f>
        <v>45750</v>
      </c>
      <c r="L9" s="97" t="s">
        <v>143</v>
      </c>
      <c r="M9" s="50">
        <f>IF(K9="",IF(WEEKDAY($D$7,1)=MOD(startday+4,7)+1,$D$7,""),K9+1)</f>
        <v>45751</v>
      </c>
      <c r="N9" s="97" t="s">
        <v>144</v>
      </c>
      <c r="O9" s="50">
        <f>IF(M9="",IF(WEEKDAY($D$7,1)=MOD(startday+5,7)+1,$D$7,""),M9+1)</f>
        <v>45752</v>
      </c>
      <c r="P9" s="97" t="s">
        <v>145</v>
      </c>
      <c r="R9" s="150" t="s">
        <v>124</v>
      </c>
    </row>
    <row r="10" spans="1:18" s="53" customFormat="1" ht="10.199999999999999" x14ac:dyDescent="0.25">
      <c r="A10" s="143"/>
      <c r="C10" s="146" t="str">
        <f ca="1">IFERROR(INDEX(Events!$A:$A,MATCH(C9,Events!$H:$H,0)),"")</f>
        <v/>
      </c>
      <c r="D10" s="147" t="str">
        <f ca="1">IFERROR(INDEX(Events!#REF!,MATCH(C10,Events!A:A,0)),"")</f>
        <v/>
      </c>
      <c r="E10" s="146" t="str">
        <f ca="1">IFERROR(INDEX(Events!$A:$A,MATCH(E9,Events!$H:$H,0)),"")</f>
        <v/>
      </c>
      <c r="F10" s="147" t="str">
        <f ca="1">IFERROR(INDEX(Events!#REF!,MATCH(E10,Events!C:C,0)),"")</f>
        <v/>
      </c>
      <c r="G10" s="221" t="s">
        <v>177</v>
      </c>
      <c r="H10" s="170"/>
      <c r="I10" s="153" t="s">
        <v>181</v>
      </c>
      <c r="J10" s="154"/>
      <c r="K10" s="153" t="s">
        <v>176</v>
      </c>
      <c r="L10" s="154"/>
      <c r="M10" s="153" t="s">
        <v>176</v>
      </c>
      <c r="N10" s="154"/>
      <c r="O10" s="146" t="str">
        <f ca="1">IFERROR(INDEX(Events!$A:$A,MATCH(O9,Events!$H:$H,0)),"")</f>
        <v/>
      </c>
      <c r="P10" s="147" t="str">
        <f ca="1">IFERROR(INDEX(Events!G:G,MATCH(O10,Events!K:K,0)),"")</f>
        <v/>
      </c>
      <c r="R10" s="150"/>
    </row>
    <row r="11" spans="1:18" s="53" customFormat="1" ht="10.199999999999999" x14ac:dyDescent="0.25">
      <c r="A11" s="143"/>
      <c r="C11" s="111"/>
      <c r="D11" s="112"/>
      <c r="E11" s="111"/>
      <c r="F11" s="112"/>
      <c r="G11" s="151" t="s">
        <v>116</v>
      </c>
      <c r="H11" s="152" t="str">
        <f>IFERROR(INDEX(Events!#REF!,MATCH(G11,Events!E:E,0)),"")</f>
        <v/>
      </c>
      <c r="I11" s="146" t="str">
        <f ca="1">IFERROR(INDEX(Events!$A:$A,MATCH(I8,Events!$I:$I,0)),"")</f>
        <v/>
      </c>
      <c r="J11" s="147"/>
      <c r="K11" s="146" t="str">
        <f ca="1">IFERROR(INDEX(Events!$A:$A,MATCH(K8,Events!$I:$I,0)),"")</f>
        <v/>
      </c>
      <c r="L11" s="147"/>
      <c r="M11" s="146" t="str">
        <f ca="1">IFERROR(INDEX(Events!$A:$A,MATCH(M8,Events!$I:$I,0)),"")</f>
        <v/>
      </c>
      <c r="N11" s="147"/>
      <c r="O11" s="146" t="str">
        <f ca="1">IFERROR(INDEX(Events!$A:$A,MATCH(O8,Events!$I:$I,0)),"")</f>
        <v/>
      </c>
      <c r="P11" s="147"/>
      <c r="R11" s="150"/>
    </row>
    <row r="12" spans="1:18" s="53" customFormat="1" ht="10.199999999999999" x14ac:dyDescent="0.25">
      <c r="A12" s="143"/>
      <c r="C12" s="146" t="str">
        <f ca="1">IFERROR(INDEX(Events!$A:$A,MATCH(C9,Events!$I:$I,0)),"")</f>
        <v/>
      </c>
      <c r="D12" s="147"/>
      <c r="E12" s="146" t="str">
        <f ca="1">IFERROR(INDEX(Events!$A:$A,MATCH(E9,Events!$I:$I,0)),"")</f>
        <v/>
      </c>
      <c r="F12" s="147"/>
      <c r="G12" s="151"/>
      <c r="H12" s="152"/>
      <c r="I12" s="146" t="str">
        <f ca="1">IFERROR(INDEX(Events!$A:$A,MATCH(I9,Events!$I:$I,0)),"")</f>
        <v/>
      </c>
      <c r="J12" s="147"/>
      <c r="K12" s="146" t="str">
        <f ca="1">IFERROR(INDEX(Events!$A:$A,MATCH(K9,Events!$I:$I,0)),"")</f>
        <v/>
      </c>
      <c r="L12" s="147"/>
      <c r="M12" s="146" t="str">
        <f ca="1">IFERROR(INDEX(Events!$A:$A,MATCH(M9,Events!$I:$I,0)),"")</f>
        <v/>
      </c>
      <c r="N12" s="147"/>
      <c r="O12" s="146" t="str">
        <f ca="1">IFERROR(INDEX(Events!$A:$A,MATCH(O9,Events!$I:$I,0)),"")</f>
        <v/>
      </c>
      <c r="P12" s="147"/>
      <c r="R12" s="150"/>
    </row>
    <row r="13" spans="1:18" s="53" customFormat="1" ht="10.199999999999999" x14ac:dyDescent="0.25">
      <c r="A13" s="143"/>
      <c r="C13" s="146" t="str">
        <f ca="1">IFERROR(INDEX(Events!$A:$A,MATCH(C9,Events!$J:$J,0)),"")</f>
        <v/>
      </c>
      <c r="D13" s="147"/>
      <c r="E13" s="146" t="str">
        <f ca="1">IFERROR(INDEX(Events!$A:$A,MATCH(E9,Events!$J:$J,0)),"")</f>
        <v/>
      </c>
      <c r="F13" s="147"/>
      <c r="G13" s="151" t="s">
        <v>123</v>
      </c>
      <c r="H13" s="152"/>
      <c r="I13" s="146" t="str">
        <f ca="1">IFERROR(INDEX(Events!$A:$A,MATCH(I9,Events!$J:$J,0)),"")</f>
        <v/>
      </c>
      <c r="J13" s="147"/>
      <c r="K13" s="146" t="str">
        <f ca="1">IFERROR(INDEX(Events!$A:$A,MATCH(K9,Events!$J:$J,0)),"")</f>
        <v/>
      </c>
      <c r="L13" s="147"/>
      <c r="M13" s="146" t="str">
        <f ca="1">IFERROR(INDEX(Events!$A:$A,MATCH(M9,Events!$J:$J,0)),"")</f>
        <v/>
      </c>
      <c r="N13" s="147"/>
      <c r="O13" s="146" t="str">
        <f ca="1">IFERROR(INDEX(Events!$A:$A,MATCH(O9,Events!$J:$J,0)),"")</f>
        <v/>
      </c>
      <c r="P13" s="147"/>
      <c r="R13" s="150"/>
    </row>
    <row r="14" spans="1:18" s="2" customFormat="1" x14ac:dyDescent="0.25">
      <c r="A14" s="143"/>
      <c r="C14" s="50">
        <f>IF(O9="","",IF(MONTH(O9+1)&lt;&gt;MONTH(O9),"",O9+1))</f>
        <v>45753</v>
      </c>
      <c r="D14" s="52" t="str">
        <f>IFERROR(INDEX(Events!$A:$A,MATCH(C14,Events!$G:$G,0)),"")</f>
        <v/>
      </c>
      <c r="E14" s="50">
        <f>IF(C14="","",IF(MONTH(C14+1)&lt;&gt;MONTH(C14),"",C14+1))</f>
        <v>45754</v>
      </c>
      <c r="F14" s="52" t="s">
        <v>146</v>
      </c>
      <c r="G14" s="50">
        <f>IF(E14="","",IF(MONTH(E14+1)&lt;&gt;MONTH(E14),"",E14+1))</f>
        <v>45755</v>
      </c>
      <c r="H14" s="97" t="s">
        <v>147</v>
      </c>
      <c r="I14" s="50">
        <f>IF(G14="","",IF(MONTH(G14+1)&lt;&gt;MONTH(G14),"",G14+1))</f>
        <v>45756</v>
      </c>
      <c r="J14" s="97" t="s">
        <v>151</v>
      </c>
      <c r="K14" s="50">
        <f>IF(I14="","",IF(MONTH(I14+1)&lt;&gt;MONTH(I14),"",I14+1))</f>
        <v>45757</v>
      </c>
      <c r="L14" s="97" t="s">
        <v>153</v>
      </c>
      <c r="M14" s="50">
        <f>IF(K14="","",IF(MONTH(K14+1)&lt;&gt;MONTH(K14),"",K14+1))</f>
        <v>45758</v>
      </c>
      <c r="N14" s="97" t="s">
        <v>154</v>
      </c>
      <c r="O14" s="50">
        <f>IF(M14="","",IF(MONTH(M14+1)&lt;&gt;MONTH(M14),"",M14+1))</f>
        <v>45759</v>
      </c>
      <c r="P14" s="52" t="str">
        <f>IFERROR(INDEX(Events!$A:$A,MATCH(O14,Events!$G:$G,0)),"")</f>
        <v/>
      </c>
      <c r="R14" s="150" t="s">
        <v>125</v>
      </c>
    </row>
    <row r="15" spans="1:18" s="53" customFormat="1" ht="10.199999999999999" x14ac:dyDescent="0.25">
      <c r="A15" s="143"/>
      <c r="C15" s="153" t="s">
        <v>176</v>
      </c>
      <c r="D15" s="154"/>
      <c r="E15" s="153" t="s">
        <v>176</v>
      </c>
      <c r="F15" s="154"/>
      <c r="G15" s="153" t="s">
        <v>176</v>
      </c>
      <c r="H15" s="154"/>
      <c r="I15" s="193" t="s">
        <v>119</v>
      </c>
      <c r="J15" s="167" t="str">
        <f>IFERROR(INDEX(Events!A:A,MATCH(I15,Events!#REF!,0)),"")</f>
        <v/>
      </c>
      <c r="K15" s="146" t="str">
        <f ca="1">IFERROR(INDEX(Events!$A:$A,MATCH(K14,Events!$H:$H,0)),"")</f>
        <v/>
      </c>
      <c r="L15" s="147" t="str">
        <f ca="1">IFERROR(INDEX(Events!#REF!,MATCH(K15,Events!I:I,0)),"")</f>
        <v/>
      </c>
      <c r="M15" s="146" t="str">
        <f ca="1">IFERROR(INDEX(Events!$A:$A,MATCH(M14,Events!$H:$H,0)),"")</f>
        <v/>
      </c>
      <c r="N15" s="147" t="str">
        <f ca="1">IFERROR(INDEX(Events!#REF!,MATCH(M15,Events!K:K,0)),"")</f>
        <v/>
      </c>
      <c r="O15" s="146" t="str">
        <f ca="1">IFERROR(INDEX(Events!$A:$A,MATCH(O14,Events!$H:$H,0)),"")</f>
        <v/>
      </c>
      <c r="P15" s="147" t="str">
        <f ca="1">IFERROR(INDEX(Events!#REF!,MATCH(O15,Events!M:M,0)),"")</f>
        <v/>
      </c>
      <c r="R15" s="150"/>
    </row>
    <row r="16" spans="1:18" s="53" customFormat="1" ht="10.199999999999999" x14ac:dyDescent="0.25">
      <c r="A16" s="143"/>
      <c r="C16" s="146" t="str">
        <f ca="1">IFERROR(INDEX(Events!$A:$A,MATCH(C14,Events!$H:$H,0)),"")</f>
        <v/>
      </c>
      <c r="D16" s="147" t="str">
        <f ca="1">IFERROR(INDEX(Events!#REF!,MATCH(C16,Events!A:A,0)),"")</f>
        <v/>
      </c>
      <c r="E16" s="146" t="str">
        <f ca="1">IFERROR(INDEX(Events!$A:$A,MATCH(E14,Events!$H:$H,0)),"")</f>
        <v/>
      </c>
      <c r="F16" s="147" t="str">
        <f ca="1">IFERROR(INDEX(Events!#REF!,MATCH(E16,Events!C:C,0)),"")</f>
        <v/>
      </c>
      <c r="G16" s="158" t="s">
        <v>118</v>
      </c>
      <c r="H16" s="216"/>
      <c r="I16" s="158" t="s">
        <v>117</v>
      </c>
      <c r="J16" s="216" t="str">
        <f>IFERROR(INDEX(Events!#REF!,MATCH(I16,Events!G:G,0)),"")</f>
        <v/>
      </c>
      <c r="K16" s="146" t="str">
        <f ca="1">IFERROR(INDEX(Events!$A:$A,MATCH(K14,Events!$H:$H,0)),"")</f>
        <v/>
      </c>
      <c r="L16" s="147" t="str">
        <f ca="1">IFERROR(INDEX(Events!#REF!,MATCH(K16,Events!I:I,0)),"")</f>
        <v/>
      </c>
      <c r="M16" s="146" t="str">
        <f ca="1">IFERROR(INDEX(Events!$A:$A,MATCH(M14,Events!$H:$H,0)),"")</f>
        <v/>
      </c>
      <c r="N16" s="147" t="str">
        <f ca="1">IFERROR(INDEX(Events!#REF!,MATCH(M16,Events!K:K,0)),"")</f>
        <v/>
      </c>
      <c r="O16" s="146" t="str">
        <f ca="1">IFERROR(INDEX(Events!$A:$A,MATCH(O14,Events!$H:$H,0)),"")</f>
        <v/>
      </c>
      <c r="P16" s="147" t="str">
        <f ca="1">IFERROR(INDEX(Events!#REF!,MATCH(O16,Events!M:M,0)),"")</f>
        <v/>
      </c>
      <c r="R16" s="150"/>
    </row>
    <row r="17" spans="1:18" s="53" customFormat="1" ht="10.199999999999999" x14ac:dyDescent="0.25">
      <c r="A17" s="143"/>
      <c r="C17" s="146" t="str">
        <f ca="1">IFERROR(INDEX(Events!$A:$A,MATCH(C14,Events!$I:$I,0)),"")</f>
        <v/>
      </c>
      <c r="D17" s="147"/>
      <c r="E17" s="146" t="str">
        <f ca="1">IFERROR(INDEX(Events!$A:$A,MATCH(E14,Events!$I:$I,0)),"")</f>
        <v/>
      </c>
      <c r="F17" s="147"/>
      <c r="G17" s="146" t="str">
        <f ca="1">IFERROR(INDEX(Events!$A:$A,MATCH(G15,Events!$H:$H,0)),"")</f>
        <v/>
      </c>
      <c r="H17" s="147" t="str">
        <f ca="1">IFERROR(INDEX(Events!#REF!,MATCH(G17,Events!E:E,0)),"")</f>
        <v/>
      </c>
      <c r="I17" s="221" t="s">
        <v>177</v>
      </c>
      <c r="J17" s="170"/>
      <c r="K17" s="222" t="s">
        <v>177</v>
      </c>
      <c r="L17" s="223"/>
      <c r="M17" s="222" t="s">
        <v>177</v>
      </c>
      <c r="N17" s="223"/>
      <c r="O17" s="146" t="str">
        <f ca="1">IFERROR(INDEX(Events!$A:$A,MATCH(O14,Events!$I:$I,0)),"")</f>
        <v/>
      </c>
      <c r="P17" s="147"/>
      <c r="R17" s="150"/>
    </row>
    <row r="18" spans="1:18" s="53" customFormat="1" ht="10.199999999999999" x14ac:dyDescent="0.25">
      <c r="A18" s="143"/>
      <c r="C18" s="146" t="str">
        <f ca="1">IFERROR(INDEX(Events!$A:$A,MATCH(C14,Events!$J:$J,0)),"")</f>
        <v/>
      </c>
      <c r="D18" s="147"/>
      <c r="E18" s="146" t="str">
        <f ca="1">IFERROR(INDEX(Events!$A:$A,MATCH(E14,Events!$J:$J,0)),"")</f>
        <v/>
      </c>
      <c r="F18" s="147"/>
      <c r="G18" s="146" t="str">
        <f ca="1">IFERROR(INDEX(Events!$A:$A,MATCH(G14,Events!$J:$J,0)),"")</f>
        <v/>
      </c>
      <c r="H18" s="147"/>
      <c r="I18" s="146" t="s">
        <v>120</v>
      </c>
      <c r="J18" s="147"/>
      <c r="K18" s="146" t="s">
        <v>120</v>
      </c>
      <c r="L18" s="147"/>
      <c r="M18" s="146" t="s">
        <v>120</v>
      </c>
      <c r="N18" s="147"/>
      <c r="O18" s="146" t="str">
        <f ca="1">IFERROR(INDEX(Events!$A:$A,MATCH(O14,Events!$J:$J,0)),"")</f>
        <v/>
      </c>
      <c r="P18" s="147"/>
      <c r="R18" s="150"/>
    </row>
    <row r="19" spans="1:18" s="2" customFormat="1" x14ac:dyDescent="0.25">
      <c r="A19" s="143"/>
      <c r="C19" s="50">
        <f>IF(O14="","",IF(MONTH(O14+1)&lt;&gt;MONTH(O14),"",O14+1))</f>
        <v>45760</v>
      </c>
      <c r="D19" s="52"/>
      <c r="E19" s="50">
        <f>IF(C19="","",IF(MONTH(C19+1)&lt;&gt;MONTH(C19),"",C19+1))</f>
        <v>45761</v>
      </c>
      <c r="F19" s="52" t="str">
        <f>IFERROR(INDEX(Events!$A:$A,MATCH(E19,Events!$G:$G,0)),"")</f>
        <v/>
      </c>
      <c r="G19" s="50">
        <f>IF(E19="","",IF(MONTH(E19+1)&lt;&gt;MONTH(E19),"",E19+1))</f>
        <v>45762</v>
      </c>
      <c r="H19" s="52"/>
      <c r="I19" s="50">
        <f>IF(G19="","",IF(MONTH(G19+1)&lt;&gt;MONTH(G19),"",G19+1))</f>
        <v>45763</v>
      </c>
      <c r="J19" s="52" t="str">
        <f>IFERROR(INDEX(Events!$A:$A,MATCH(I19,Events!$G:$G,0)),"")</f>
        <v/>
      </c>
      <c r="K19" s="50">
        <f>IF(I19="","",IF(MONTH(I19+1)&lt;&gt;MONTH(I19),"",I19+1))</f>
        <v>45764</v>
      </c>
      <c r="L19" s="52" t="str">
        <f>IFERROR(INDEX(Events!$A:$A,MATCH(K19,Events!$G:$G,0)),"")</f>
        <v/>
      </c>
      <c r="M19" s="50">
        <f>IF(K19="","",IF(MONTH(K19+1)&lt;&gt;MONTH(K19),"",K19+1))</f>
        <v>45765</v>
      </c>
      <c r="N19" s="52" t="str">
        <f>IFERROR(INDEX(Events!$A:$A,MATCH(M19,Events!$G:$G,0)),"")</f>
        <v>Good Friday</v>
      </c>
      <c r="O19" s="50">
        <f>IF(M19="","",IF(MONTH(M19+1)&lt;&gt;MONTH(M19),"",M19+1))</f>
        <v>45766</v>
      </c>
      <c r="P19" s="52" t="str">
        <f>IFERROR(INDEX(Events!$A:$A,MATCH(O19,Events!$G:$G,0)),"")</f>
        <v/>
      </c>
      <c r="R19" s="150" t="s">
        <v>126</v>
      </c>
    </row>
    <row r="20" spans="1:18" s="2" customFormat="1" x14ac:dyDescent="0.25">
      <c r="A20" s="143"/>
      <c r="C20" s="146" t="str">
        <f ca="1">IFERROR(INDEX(Events!$A:$A,MATCH(C19,Events!$H:$H,0)),"")</f>
        <v/>
      </c>
      <c r="D20" s="147" t="str">
        <f ca="1">IFERROR(INDEX(Events!#REF!,MATCH(C20,Events!A:A,0)),"")</f>
        <v/>
      </c>
      <c r="E20" s="146" t="str">
        <f ca="1">IFERROR(INDEX(Events!$A:$A,MATCH(E19,Events!$H:$H,0)),"")</f>
        <v/>
      </c>
      <c r="F20" s="147" t="str">
        <f ca="1">IFERROR(INDEX(Events!#REF!,MATCH(E20,Events!C:C,0)),"")</f>
        <v/>
      </c>
      <c r="G20" s="146" t="str">
        <f ca="1">IFERROR(INDEX(Events!$A:$A,MATCH(G19,Events!$H:$H,0)),"")</f>
        <v/>
      </c>
      <c r="H20" s="147" t="str">
        <f ca="1">IFERROR(INDEX(Events!#REF!,MATCH(G20,Events!E:E,0)),"")</f>
        <v/>
      </c>
      <c r="I20" s="146" t="str">
        <f ca="1">IFERROR(INDEX(Events!$A:$A,MATCH(I19,Events!$H:$H,0)),"")</f>
        <v/>
      </c>
      <c r="J20" s="147" t="str">
        <f ca="1">IFERROR(INDEX(Events!#REF!,MATCH(I20,Events!G:G,0)),"")</f>
        <v/>
      </c>
      <c r="K20" s="146" t="str">
        <f ca="1">IFERROR(INDEX(Events!$A:$A,MATCH(K19,Events!$H:$H,0)),"")</f>
        <v/>
      </c>
      <c r="L20" s="147" t="str">
        <f ca="1">IFERROR(INDEX(Events!#REF!,MATCH(K20,Events!I:I,0)),"")</f>
        <v/>
      </c>
      <c r="M20" s="146" t="str">
        <f ca="1">IFERROR(INDEX(Events!$A:$A,MATCH(M19,Events!$H:$H,0)),"")</f>
        <v/>
      </c>
      <c r="N20" s="147" t="str">
        <f ca="1">IFERROR(INDEX(Events!#REF!,MATCH(M20,Events!K:K,0)),"")</f>
        <v/>
      </c>
      <c r="O20" s="146" t="str">
        <f ca="1">IFERROR(INDEX(Events!$A:$A,MATCH(O19,Events!$H:$H,0)),"")</f>
        <v/>
      </c>
      <c r="P20" s="147" t="str">
        <f ca="1">IFERROR(INDEX(Events!#REF!,MATCH(O20,Events!M:M,0)),"")</f>
        <v/>
      </c>
      <c r="R20" s="150"/>
    </row>
    <row r="21" spans="1:18" s="53" customFormat="1" ht="10.199999999999999" x14ac:dyDescent="0.25">
      <c r="A21" s="143"/>
      <c r="C21" s="221" t="s">
        <v>177</v>
      </c>
      <c r="D21" s="170"/>
      <c r="E21" s="222" t="s">
        <v>177</v>
      </c>
      <c r="F21" s="223"/>
      <c r="G21" s="222" t="s">
        <v>177</v>
      </c>
      <c r="H21" s="223"/>
      <c r="I21" s="222" t="s">
        <v>177</v>
      </c>
      <c r="J21" s="223"/>
      <c r="K21" s="222" t="s">
        <v>177</v>
      </c>
      <c r="L21" s="223"/>
      <c r="M21" s="222" t="s">
        <v>177</v>
      </c>
      <c r="N21" s="223"/>
      <c r="O21" s="146" t="str">
        <f ca="1">IFERROR(INDEX(Events!$A:$A,MATCH(O19,Events!$H:$H,0)),"")</f>
        <v/>
      </c>
      <c r="P21" s="147" t="str">
        <f ca="1">IFERROR(INDEX(Events!#REF!,MATCH(O21,Events!M:M,0)),"")</f>
        <v/>
      </c>
      <c r="R21" s="150"/>
    </row>
    <row r="22" spans="1:18" s="53" customFormat="1" ht="10.199999999999999" x14ac:dyDescent="0.25">
      <c r="A22" s="143"/>
      <c r="C22" s="146" t="str">
        <f ca="1">IFERROR(INDEX(Events!$A:$A,MATCH(C19,Events!$I:$I,0)),"")</f>
        <v/>
      </c>
      <c r="D22" s="147"/>
      <c r="E22" s="209" t="s">
        <v>121</v>
      </c>
      <c r="F22" s="173"/>
      <c r="G22" s="146" t="str">
        <f ca="1">IFERROR(INDEX(Events!$A:$A,MATCH(G19,Events!$I:$I,0)),"")</f>
        <v/>
      </c>
      <c r="H22" s="147"/>
      <c r="I22" s="146" t="str">
        <f ca="1">IFERROR(INDEX(Events!$A:$A,MATCH(I19,Events!$I:$I,0)),"")</f>
        <v/>
      </c>
      <c r="J22" s="147"/>
      <c r="K22" s="146" t="str">
        <f ca="1">IFERROR(INDEX(Events!$A:$A,MATCH(K19,Events!$I:$I,0)),"")</f>
        <v/>
      </c>
      <c r="L22" s="147"/>
      <c r="M22" s="146" t="str">
        <f ca="1">IFERROR(INDEX(Events!$A:$A,MATCH(M19,Events!$I:$I,0)),"")</f>
        <v/>
      </c>
      <c r="N22" s="147"/>
      <c r="O22" s="146" t="str">
        <f ca="1">IFERROR(INDEX(Events!$A:$A,MATCH(O19,Events!$I:$I,0)),"")</f>
        <v/>
      </c>
      <c r="P22" s="147"/>
      <c r="R22" s="150"/>
    </row>
    <row r="23" spans="1:18" s="53" customFormat="1" ht="10.199999999999999" x14ac:dyDescent="0.25">
      <c r="A23" s="143"/>
      <c r="C23" s="146" t="str">
        <f ca="1">IFERROR(INDEX(Events!$A:$A,MATCH(C19,Events!$J:$J,0)),"")</f>
        <v/>
      </c>
      <c r="D23" s="147"/>
      <c r="E23" s="146" t="s">
        <v>120</v>
      </c>
      <c r="F23" s="147"/>
      <c r="G23" s="146" t="s">
        <v>120</v>
      </c>
      <c r="H23" s="147"/>
      <c r="I23" s="146" t="s">
        <v>120</v>
      </c>
      <c r="J23" s="147"/>
      <c r="K23" s="146" t="s">
        <v>120</v>
      </c>
      <c r="L23" s="147"/>
      <c r="M23" s="146" t="s">
        <v>120</v>
      </c>
      <c r="N23" s="147"/>
      <c r="O23" s="146" t="str">
        <f ca="1">IFERROR(INDEX(Events!$A:$A,MATCH(O19,Events!$J:$J,0)),"")</f>
        <v/>
      </c>
      <c r="P23" s="147"/>
      <c r="R23" s="150"/>
    </row>
    <row r="24" spans="1:18" s="2" customFormat="1" x14ac:dyDescent="0.25">
      <c r="A24" s="143"/>
      <c r="C24" s="50">
        <f>IF(O19="","",IF(MONTH(O19+1)&lt;&gt;MONTH(O19),"",O19+1))</f>
        <v>45767</v>
      </c>
      <c r="D24" s="52" t="str">
        <f>IFERROR(INDEX(Events!$A:$A,MATCH(C24,Events!$G:$G,0)),"")</f>
        <v>Easter</v>
      </c>
      <c r="E24" s="50">
        <f>IF(C24="","",IF(MONTH(C24+1)&lt;&gt;MONTH(C24),"",C24+1))</f>
        <v>45768</v>
      </c>
      <c r="F24" s="52" t="str">
        <f>IFERROR(INDEX(Events!$A:$A,MATCH(E24,Events!$G:$G,0)),"")</f>
        <v/>
      </c>
      <c r="G24" s="50">
        <f>IF(E24="","",IF(MONTH(E24+1)&lt;&gt;MONTH(E24),"",E24+1))</f>
        <v>45769</v>
      </c>
      <c r="H24" s="52"/>
      <c r="I24" s="50">
        <f>IF(G24="","",IF(MONTH(G24+1)&lt;&gt;MONTH(G24),"",G24+1))</f>
        <v>45770</v>
      </c>
      <c r="J24" s="52"/>
      <c r="K24" s="50">
        <f>IF(I24="","",IF(MONTH(I24+1)&lt;&gt;MONTH(I24),"",I24+1))</f>
        <v>45771</v>
      </c>
      <c r="L24" s="52" t="str">
        <f>IFERROR(INDEX(Events!$A:$A,MATCH(K24,Events!$G:$G,0)),"")</f>
        <v/>
      </c>
      <c r="M24" s="50">
        <f>IF(K24="","",IF(MONTH(K24+1)&lt;&gt;MONTH(K24),"",K24+1))</f>
        <v>45772</v>
      </c>
      <c r="N24" s="52" t="str">
        <f>IFERROR(INDEX(Events!$A:$A,MATCH(M24,Events!$G:$G,0)),"")</f>
        <v/>
      </c>
      <c r="O24" s="50">
        <f>IF(M24="","",IF(MONTH(M24+1)&lt;&gt;MONTH(M24),"",M24+1))</f>
        <v>45773</v>
      </c>
      <c r="P24" s="52" t="str">
        <f>IFERROR(INDEX(Events!$A:$A,MATCH(O24,Events!$G:$G,0)),"")</f>
        <v/>
      </c>
      <c r="R24" s="150" t="s">
        <v>127</v>
      </c>
    </row>
    <row r="25" spans="1:18" s="53" customFormat="1" ht="10.199999999999999" x14ac:dyDescent="0.25">
      <c r="A25" s="143"/>
      <c r="C25" s="146" t="str">
        <f ca="1">IFERROR(INDEX(Events!$A:$A,MATCH(C24,Events!$H:$H,0)),"")</f>
        <v/>
      </c>
      <c r="D25" s="147" t="str">
        <f ca="1">IFERROR(INDEX(Events!#REF!,MATCH(C25,Events!A:A,0)),"")</f>
        <v/>
      </c>
      <c r="E25" s="146" t="str">
        <f ca="1">IFERROR(INDEX(Events!$A:$A,MATCH(E24,Events!$H:$H,0)),"")</f>
        <v/>
      </c>
      <c r="F25" s="147" t="str">
        <f ca="1">IFERROR(INDEX(Events!#REF!,MATCH(E25,Events!C:C,0)),"")</f>
        <v/>
      </c>
      <c r="G25" s="146" t="str">
        <f ca="1">IFERROR(INDEX(Events!$A:$A,MATCH(G24,Events!$H:$H,0)),"")</f>
        <v/>
      </c>
      <c r="H25" s="147" t="str">
        <f ca="1">IFERROR(INDEX(Events!#REF!,MATCH(G25,Events!E:E,0)),"")</f>
        <v/>
      </c>
      <c r="I25" s="217" t="s">
        <v>152</v>
      </c>
      <c r="J25" s="218" t="str">
        <f>IFERROR(INDEX(Events!A:A,MATCH(I25,Events!G:G,0)),"")</f>
        <v/>
      </c>
      <c r="K25" s="146" t="str">
        <f ca="1">IFERROR(INDEX(Events!$A:$A,MATCH(K24,Events!$H:$H,0)),"")</f>
        <v/>
      </c>
      <c r="L25" s="147" t="str">
        <f ca="1">IFERROR(INDEX(Events!#REF!,MATCH(K25,Events!I:I,0)),"")</f>
        <v/>
      </c>
      <c r="M25" s="146" t="str">
        <f ca="1">IFERROR(INDEX(Events!$A:$A,MATCH(M24,Events!$H:$H,0)),"")</f>
        <v/>
      </c>
      <c r="N25" s="147" t="str">
        <f ca="1">IFERROR(INDEX(Events!#REF!,MATCH(M25,Events!K:K,0)),"")</f>
        <v/>
      </c>
      <c r="O25" s="146" t="str">
        <f ca="1">IFERROR(INDEX(Events!$A:$A,MATCH(O24,Events!$H:$H,0)),"")</f>
        <v/>
      </c>
      <c r="P25" s="147" t="str">
        <f ca="1">IFERROR(INDEX(Events!#REF!,MATCH(O25,Events!M:M,0)),"")</f>
        <v/>
      </c>
      <c r="R25" s="150"/>
    </row>
    <row r="26" spans="1:18" s="53" customFormat="1" ht="10.199999999999999" x14ac:dyDescent="0.25">
      <c r="A26" s="143"/>
      <c r="C26" s="221" t="s">
        <v>177</v>
      </c>
      <c r="D26" s="170"/>
      <c r="E26" s="222" t="s">
        <v>177</v>
      </c>
      <c r="F26" s="223"/>
      <c r="G26" s="222" t="s">
        <v>177</v>
      </c>
      <c r="H26" s="223"/>
      <c r="I26" s="221" t="s">
        <v>177</v>
      </c>
      <c r="J26" s="170"/>
      <c r="K26" s="222" t="s">
        <v>177</v>
      </c>
      <c r="L26" s="223"/>
      <c r="M26" s="222" t="s">
        <v>177</v>
      </c>
      <c r="N26" s="223"/>
      <c r="O26" s="146" t="str">
        <f ca="1">IFERROR(INDEX(Events!$A:$A,MATCH(O24,Events!$H:$H,0)),"")</f>
        <v/>
      </c>
      <c r="P26" s="147" t="str">
        <f ca="1">IFERROR(INDEX(Events!#REF!,MATCH(O26,Events!M:M,0)),"")</f>
        <v/>
      </c>
      <c r="R26" s="150"/>
    </row>
    <row r="27" spans="1:18" s="53" customFormat="1" ht="10.199999999999999" x14ac:dyDescent="0.25">
      <c r="A27" s="143"/>
      <c r="C27" s="146" t="str">
        <f ca="1">IFERROR(INDEX(Events!$A:$A,MATCH(C24,Events!$I:$I,0)),"")</f>
        <v/>
      </c>
      <c r="D27" s="147"/>
      <c r="E27" s="209" t="s">
        <v>121</v>
      </c>
      <c r="F27" s="173"/>
      <c r="G27" s="146" t="str">
        <f ca="1">IFERROR(INDEX(Events!$A:$A,MATCH(G24,Events!$I:$I,0)),"")</f>
        <v/>
      </c>
      <c r="H27" s="147"/>
      <c r="I27" s="146" t="str">
        <f ca="1">IFERROR(INDEX(Events!$A:$A,MATCH(I24,Events!$I:$I,0)),"")</f>
        <v/>
      </c>
      <c r="J27" s="147"/>
      <c r="K27" s="146" t="str">
        <f ca="1">IFERROR(INDEX(Events!$A:$A,MATCH(K24,Events!$I:$I,0)),"")</f>
        <v/>
      </c>
      <c r="L27" s="147"/>
      <c r="M27" s="146" t="str">
        <f ca="1">IFERROR(INDEX(Events!$A:$A,MATCH(M24,Events!$I:$I,0)),"")</f>
        <v/>
      </c>
      <c r="N27" s="147"/>
      <c r="O27" s="146" t="str">
        <f ca="1">IFERROR(INDEX(Events!$A:$A,MATCH(O24,Events!$I:$I,0)),"")</f>
        <v/>
      </c>
      <c r="P27" s="147"/>
      <c r="R27" s="150"/>
    </row>
    <row r="28" spans="1:18" s="53" customFormat="1" ht="10.199999999999999" x14ac:dyDescent="0.25">
      <c r="A28" s="143"/>
      <c r="C28" s="146" t="str">
        <f ca="1">IFERROR(INDEX(Events!$A:$A,MATCH(C24,Events!$J:$J,0)),"")</f>
        <v/>
      </c>
      <c r="D28" s="147"/>
      <c r="E28" s="146" t="s">
        <v>120</v>
      </c>
      <c r="F28" s="147"/>
      <c r="G28" s="146" t="s">
        <v>120</v>
      </c>
      <c r="H28" s="147"/>
      <c r="I28" s="146" t="s">
        <v>120</v>
      </c>
      <c r="J28" s="147"/>
      <c r="K28" s="146" t="s">
        <v>120</v>
      </c>
      <c r="L28" s="147"/>
      <c r="M28" s="146" t="s">
        <v>120</v>
      </c>
      <c r="N28" s="147"/>
      <c r="O28" s="146" t="str">
        <f ca="1">IFERROR(INDEX(Events!$A:$A,MATCH(O24,Events!$J:$J,0)),"")</f>
        <v/>
      </c>
      <c r="P28" s="147"/>
      <c r="R28" s="150"/>
    </row>
    <row r="29" spans="1:18" s="2" customFormat="1" x14ac:dyDescent="0.25">
      <c r="A29" s="143"/>
      <c r="C29" s="50">
        <f>IF(O24="","",IF(MONTH(O24+1)&lt;&gt;MONTH(O24),"",O24+1))</f>
        <v>45774</v>
      </c>
      <c r="D29" s="52" t="str">
        <f>IFERROR(INDEX(Events!$A:$A,MATCH(C29,Events!$G:$G,0)),"")</f>
        <v/>
      </c>
      <c r="E29" s="50">
        <f>IF(C29="","",IF(MONTH(C29+1)&lt;&gt;MONTH(C29),"",C29+1))</f>
        <v>45775</v>
      </c>
      <c r="F29" s="52" t="str">
        <f>IFERROR(INDEX(Events!$A:$A,MATCH(E29,Events!$G:$G,0)),"")</f>
        <v/>
      </c>
      <c r="G29" s="50">
        <f>IF(E29="","",IF(MONTH(E29+1)&lt;&gt;MONTH(E29),"",E29+1))</f>
        <v>45776</v>
      </c>
      <c r="H29" s="52" t="str">
        <f>IFERROR(INDEX(Events!$A:$A,MATCH(G29,Events!$G:$G,0)),"")</f>
        <v/>
      </c>
      <c r="I29" s="50">
        <f>IF(G29="","",IF(MONTH(G29+1)&lt;&gt;MONTH(G29),"",G29+1))</f>
        <v>45777</v>
      </c>
      <c r="J29" s="52" t="str">
        <f>IFERROR(INDEX(Events!$A:$A,MATCH(I29,Events!$G:$G,0)),"")</f>
        <v/>
      </c>
      <c r="K29" s="50" t="str">
        <f>IF(I29="","",IF(MONTH(I29+1)&lt;&gt;MONTH(I29),"",I29+1))</f>
        <v/>
      </c>
      <c r="L29" s="52" t="str">
        <f>IFERROR(INDEX(Events!$A:$A,MATCH(K29,Events!$G:$G,0)),"")</f>
        <v/>
      </c>
      <c r="M29" s="50" t="str">
        <f>IF(K29="","",IF(MONTH(K29+1)&lt;&gt;MONTH(K29),"",K29+1))</f>
        <v/>
      </c>
      <c r="N29" s="52" t="str">
        <f>IFERROR(INDEX(Events!$A:$A,MATCH(M29,Events!$G:$G,0)),"")</f>
        <v/>
      </c>
      <c r="O29" s="50" t="str">
        <f>IF(M29="","",IF(MONTH(M29+1)&lt;&gt;MONTH(M29),"",M29+1))</f>
        <v/>
      </c>
      <c r="P29" s="52" t="str">
        <f>IFERROR(INDEX(Events!$A:$A,MATCH(O29,Events!$G:$G,0)),"")</f>
        <v/>
      </c>
      <c r="R29" s="150" t="s">
        <v>128</v>
      </c>
    </row>
    <row r="30" spans="1:18" s="2" customFormat="1" x14ac:dyDescent="0.25">
      <c r="A30" s="143"/>
      <c r="C30" s="146" t="str">
        <f ca="1">IFERROR(INDEX(Events!$A:$A,MATCH(C29,Events!$H:$H,0)),"")</f>
        <v/>
      </c>
      <c r="D30" s="147" t="str">
        <f ca="1">IFERROR(INDEX(Events!#REF!,MATCH(C30,Events!A:A,0)),"")</f>
        <v/>
      </c>
      <c r="E30" s="146" t="str">
        <f ca="1">IFERROR(INDEX(Events!$A:$A,MATCH(E28,Events!$H:$H,0)),"")</f>
        <v/>
      </c>
      <c r="F30" s="147" t="str">
        <f ca="1">IFERROR(INDEX(Events!#REF!,MATCH(E30,Events!C:C,0)),"")</f>
        <v/>
      </c>
      <c r="G30" s="146" t="str">
        <f ca="1">IFERROR(INDEX(Events!$A:$A,MATCH(G28,Events!$H:$H,0)),"")</f>
        <v/>
      </c>
      <c r="H30" s="147" t="str">
        <f ca="1">IFERROR(INDEX(Events!#REF!,MATCH(G30,Events!E:E,0)),"")</f>
        <v/>
      </c>
      <c r="I30" s="146" t="str">
        <f ca="1">IFERROR(INDEX(Events!$A:$A,MATCH(I28,Events!$H:$H,0)),"")</f>
        <v/>
      </c>
      <c r="J30" s="147" t="str">
        <f ca="1">IFERROR(INDEX(Events!A:A,MATCH(I30,Events!G:G,0)),"")</f>
        <v/>
      </c>
      <c r="K30" s="104"/>
      <c r="L30" s="105"/>
      <c r="M30" s="104"/>
      <c r="N30" s="105"/>
      <c r="O30" s="104"/>
      <c r="P30" s="105"/>
      <c r="R30" s="150"/>
    </row>
    <row r="31" spans="1:18" s="53" customFormat="1" ht="10.199999999999999" x14ac:dyDescent="0.25">
      <c r="A31" s="143"/>
      <c r="C31" s="221" t="s">
        <v>177</v>
      </c>
      <c r="D31" s="170"/>
      <c r="E31" s="222" t="s">
        <v>177</v>
      </c>
      <c r="F31" s="223"/>
      <c r="G31" s="222" t="s">
        <v>177</v>
      </c>
      <c r="H31" s="223"/>
      <c r="I31" s="221" t="s">
        <v>177</v>
      </c>
      <c r="J31" s="170"/>
      <c r="K31" s="146" t="str">
        <f ca="1">IFERROR(INDEX(Events!$A:$A,MATCH(K29,Events!$H:$H,0)),"")</f>
        <v/>
      </c>
      <c r="L31" s="147" t="str">
        <f ca="1">IFERROR(INDEX(Events!C:C,MATCH(K31,Events!I:I,0)),"")</f>
        <v/>
      </c>
      <c r="M31" s="146" t="str">
        <f ca="1">IFERROR(INDEX(Events!$A:$A,MATCH(M29,Events!$H:$H,0)),"")</f>
        <v/>
      </c>
      <c r="N31" s="147" t="str">
        <f ca="1">IFERROR(INDEX(Events!E:E,MATCH(M31,Events!#REF!,0)),"")</f>
        <v/>
      </c>
      <c r="O31" s="146" t="str">
        <f ca="1">IFERROR(INDEX(Events!$A:$A,MATCH(O29,Events!$H:$H,0)),"")</f>
        <v/>
      </c>
      <c r="P31" s="147" t="str">
        <f ca="1">IFERROR(INDEX(Events!G:G,MATCH(O31,Events!K:K,0)),"")</f>
        <v/>
      </c>
      <c r="R31" s="150"/>
    </row>
    <row r="32" spans="1:18" s="53" customFormat="1" ht="10.199999999999999" x14ac:dyDescent="0.25">
      <c r="A32" s="143"/>
      <c r="C32" s="146" t="str">
        <f ca="1">IFERROR(INDEX(Events!$A:$A,MATCH(C29,Events!$I:$I,0)),"")</f>
        <v/>
      </c>
      <c r="D32" s="147"/>
      <c r="E32" s="209" t="s">
        <v>121</v>
      </c>
      <c r="F32" s="173"/>
      <c r="G32" s="209" t="s">
        <v>121</v>
      </c>
      <c r="H32" s="173"/>
      <c r="I32" s="209" t="s">
        <v>121</v>
      </c>
      <c r="J32" s="173"/>
      <c r="K32" s="146" t="str">
        <f ca="1">IFERROR(INDEX(Events!$A:$A,MATCH(K29,Events!$I:$I,0)),"")</f>
        <v/>
      </c>
      <c r="L32" s="147"/>
      <c r="M32" s="146" t="str">
        <f ca="1">IFERROR(INDEX(Events!$A:$A,MATCH(M29,Events!$I:$I,0)),"")</f>
        <v/>
      </c>
      <c r="N32" s="147"/>
      <c r="O32" s="146" t="str">
        <f ca="1">IFERROR(INDEX(Events!$A:$A,MATCH(O29,Events!$I:$I,0)),"")</f>
        <v/>
      </c>
      <c r="P32" s="147"/>
      <c r="R32" s="150"/>
    </row>
    <row r="33" spans="1:18" s="53" customFormat="1" ht="10.199999999999999" x14ac:dyDescent="0.25">
      <c r="A33" s="143"/>
      <c r="C33" s="146" t="str">
        <f ca="1">IFERROR(INDEX(Events!$A:$A,MATCH(C29,Events!$J:$J,0)),"")</f>
        <v/>
      </c>
      <c r="D33" s="147"/>
      <c r="E33" s="211" t="s">
        <v>120</v>
      </c>
      <c r="F33" s="177"/>
      <c r="G33" s="211" t="s">
        <v>120</v>
      </c>
      <c r="H33" s="177"/>
      <c r="I33" s="211" t="s">
        <v>120</v>
      </c>
      <c r="J33" s="177"/>
      <c r="K33" s="180" t="str">
        <f ca="1">IFERROR(INDEX(Events!$A:$A,MATCH(K29,Events!$J:$J,0)),"")</f>
        <v/>
      </c>
      <c r="L33" s="181"/>
      <c r="M33" s="180" t="str">
        <f ca="1">IFERROR(INDEX(Events!$A:$A,MATCH(M29,Events!$J:$J,0)),"")</f>
        <v/>
      </c>
      <c r="N33" s="181"/>
      <c r="O33" s="180" t="str">
        <f ca="1">IFERROR(INDEX(Events!$A:$A,MATCH(O29,Events!$J:$J,0)),"")</f>
        <v/>
      </c>
      <c r="P33" s="181"/>
      <c r="R33" s="150"/>
    </row>
    <row r="34" spans="1:18" hidden="1" x14ac:dyDescent="0.25">
      <c r="C34" s="104" t="str">
        <f>IF(O29="","",IF(MONTH(O29+1)&lt;&gt;MONTH(O29),"",O29+1))</f>
        <v/>
      </c>
      <c r="D34" s="105" t="str">
        <f>IFERROR(INDEX(Events!$A:$A,MATCH(C34,Events!$G:$G,0)),"")</f>
        <v/>
      </c>
      <c r="E34" s="104" t="str">
        <f>IF(C34="","",IF(MONTH(C34+1)&lt;&gt;MONTH(C34),"",C34+1))</f>
        <v/>
      </c>
      <c r="F34" s="105" t="str">
        <f>IFERROR(INDEX(Events!$A:$A,MATCH(E34,Events!$G:$G,0)),"")</f>
        <v/>
      </c>
    </row>
    <row r="35" spans="1:18" s="54" customFormat="1" ht="10.199999999999999" hidden="1" x14ac:dyDescent="0.2">
      <c r="C35" s="146" t="str">
        <f ca="1">IFERROR(INDEX(Events!$A:$A,MATCH(C34,Events!$H:$H,0)),"")</f>
        <v/>
      </c>
      <c r="D35" s="147" t="str">
        <f ca="1">IFERROR(INDEX(Events!#REF!,MATCH(C35,Events!A:A,0)),"")</f>
        <v/>
      </c>
      <c r="E35" s="146" t="str">
        <f ca="1">IFERROR(INDEX(Events!$A:$A,MATCH(E34,Events!$H:$H,0)),"")</f>
        <v/>
      </c>
      <c r="F35" s="147" t="str">
        <f ca="1">IFERROR(INDEX(Events!#REF!,MATCH(E35,Events!C:C,0)),"")</f>
        <v/>
      </c>
      <c r="J35" s="55"/>
      <c r="K35" s="55"/>
      <c r="L35" s="55"/>
      <c r="M35" s="55"/>
      <c r="N35" s="55"/>
      <c r="O35" s="55"/>
      <c r="P35" s="55"/>
      <c r="R35" s="101"/>
    </row>
    <row r="36" spans="1:18" s="54" customFormat="1" ht="10.199999999999999" hidden="1" x14ac:dyDescent="0.2">
      <c r="C36" s="146" t="str">
        <f ca="1">IFERROR(INDEX(Events!$A:$A,MATCH(C34,Events!$I:$I,0)),"")</f>
        <v/>
      </c>
      <c r="D36" s="147"/>
      <c r="E36" s="146" t="str">
        <f ca="1">IFERROR(INDEX(Events!$A:$A,MATCH(E34,Events!$I:$I,0)),"")</f>
        <v/>
      </c>
      <c r="F36" s="147"/>
      <c r="I36" s="142"/>
      <c r="J36" s="142"/>
      <c r="K36" s="142"/>
      <c r="L36" s="142"/>
      <c r="M36" s="142"/>
      <c r="N36" s="142"/>
      <c r="O36" s="142"/>
      <c r="P36" s="142"/>
      <c r="R36" s="101"/>
    </row>
    <row r="37" spans="1:18" s="54" customFormat="1" ht="10.199999999999999" hidden="1" x14ac:dyDescent="0.2">
      <c r="C37" s="180" t="str">
        <f ca="1">IFERROR(INDEX(Events!$A:$A,MATCH(C34,Events!$J:$J,0)),"")</f>
        <v/>
      </c>
      <c r="D37" s="181"/>
      <c r="E37" s="180" t="str">
        <f ca="1">IFERROR(INDEX(Events!$A:$A,MATCH(E34,Events!$J:$J,0)),"")</f>
        <v/>
      </c>
      <c r="F37" s="181"/>
      <c r="I37" s="142"/>
      <c r="J37" s="142"/>
      <c r="K37" s="142"/>
      <c r="L37" s="142"/>
      <c r="M37" s="142"/>
      <c r="N37" s="142"/>
      <c r="O37" s="142"/>
      <c r="P37" s="142"/>
      <c r="R37" s="101"/>
    </row>
    <row r="38" spans="1:18" ht="18" customHeight="1" x14ac:dyDescent="0.25">
      <c r="I38" s="142"/>
      <c r="J38" s="142"/>
      <c r="K38" s="142"/>
      <c r="L38" s="142"/>
      <c r="M38" s="142"/>
      <c r="N38" s="142"/>
      <c r="O38" s="142"/>
      <c r="P38" s="142"/>
    </row>
    <row r="39" spans="1:18" s="1" customFormat="1" ht="10.199999999999999" hidden="1" x14ac:dyDescent="0.2">
      <c r="C39" s="1" t="s">
        <v>1</v>
      </c>
      <c r="D39" s="6">
        <f>DATE(YEAR('Q1'!$D$7),MONTH('Q1'!$D$7)+4,1)</f>
        <v>45778</v>
      </c>
      <c r="R39" s="101"/>
    </row>
    <row r="40" spans="1:18" s="56" customFormat="1" ht="18" customHeight="1" x14ac:dyDescent="0.25">
      <c r="A40" s="143">
        <f>D39</f>
        <v>45778</v>
      </c>
      <c r="C40" s="144" t="s">
        <v>109</v>
      </c>
      <c r="D40" s="145"/>
      <c r="E40" s="144" t="s">
        <v>110</v>
      </c>
      <c r="F40" s="145"/>
      <c r="G40" s="144" t="s">
        <v>111</v>
      </c>
      <c r="H40" s="145"/>
      <c r="I40" s="144" t="s">
        <v>112</v>
      </c>
      <c r="J40" s="145"/>
      <c r="K40" s="144" t="s">
        <v>113</v>
      </c>
      <c r="L40" s="145"/>
      <c r="M40" s="144" t="s">
        <v>114</v>
      </c>
      <c r="N40" s="145"/>
      <c r="O40" s="144" t="s">
        <v>115</v>
      </c>
      <c r="P40" s="145"/>
      <c r="R40" s="96" t="s">
        <v>132</v>
      </c>
    </row>
    <row r="41" spans="1:18" s="1" customFormat="1" x14ac:dyDescent="0.2">
      <c r="A41" s="143"/>
      <c r="C41" s="50" t="str">
        <f>IF(WEEKDAY($D$39,1)=startday,$D$39,"")</f>
        <v/>
      </c>
      <c r="D41" s="52" t="str">
        <f>IFERROR(INDEX(Events!$A:$A,MATCH(C41,Events!$G:$G,0)),"")</f>
        <v/>
      </c>
      <c r="E41" s="50" t="str">
        <f>IF(C41="",IF(WEEKDAY($D$39,1)=MOD(startday,7)+1,$D$39,""),C41+1)</f>
        <v/>
      </c>
      <c r="F41" s="52" t="str">
        <f>IFERROR(INDEX(Events!$A:$A,MATCH(E41,Events!$G:$G,0)),"")</f>
        <v/>
      </c>
      <c r="G41" s="50" t="str">
        <f>IF(E41="",IF(WEEKDAY($D$39,1)=MOD(startday+1,7)+1,$D$39,""),E41+1)</f>
        <v/>
      </c>
      <c r="H41" s="52" t="str">
        <f>IFERROR(INDEX(Events!$A:$A,MATCH(G41,Events!$G:$G,0)),"")</f>
        <v/>
      </c>
      <c r="I41" s="50" t="str">
        <f>IF(G41="",IF(WEEKDAY($D$39,1)=MOD(startday+2,7)+1,$D$39,""),G41+1)</f>
        <v/>
      </c>
      <c r="J41" s="52" t="str">
        <f>IFERROR(INDEX(Events!$A:$A,MATCH(I41,Events!$G:$G,0)),"")</f>
        <v/>
      </c>
      <c r="K41" s="109">
        <f>IF(I41="",IF(WEEKDAY($D$39,1)=MOD(startday+3,7)+1,$D$39,""),I41+1)</f>
        <v>45778</v>
      </c>
      <c r="L41" s="110" t="str">
        <f>IFERROR(INDEX(Events!$A:$A,MATCH(K41,Events!$G:$G,0)),"")</f>
        <v/>
      </c>
      <c r="M41" s="107">
        <f>IF(K41="",IF(WEEKDAY($D$39,1)=MOD(startday+4,7)+1,$D$39,""),K41+1)</f>
        <v>45779</v>
      </c>
      <c r="N41" s="108" t="s">
        <v>141</v>
      </c>
      <c r="O41" s="50">
        <f>IF(M41="",IF(WEEKDAY($D$39,1)=MOD(startday+5,7)+1,$D$39,""),M41+1)</f>
        <v>45780</v>
      </c>
      <c r="P41" s="52" t="str">
        <f>IFERROR(INDEX(Events!$A:$A,MATCH(O41,Events!$G:$G,0)),"")</f>
        <v/>
      </c>
      <c r="R41" s="183" t="s">
        <v>129</v>
      </c>
    </row>
    <row r="42" spans="1:18" s="54" customFormat="1" ht="10.199999999999999" x14ac:dyDescent="0.2">
      <c r="A42" s="143"/>
      <c r="C42" s="146" t="str">
        <f ca="1">IFERROR(INDEX(Events!$A:$A,MATCH(C41,Events!$H:$H,0)),"")</f>
        <v/>
      </c>
      <c r="D42" s="147"/>
      <c r="E42" s="146" t="str">
        <f ca="1">IFERROR(INDEX(Events!$A:$A,MATCH(E41,Events!$H:$H,0)),"")</f>
        <v/>
      </c>
      <c r="F42" s="147"/>
      <c r="G42" s="146" t="str">
        <f ca="1">IFERROR(INDEX(Events!$A:$A,MATCH(G41,Events!$H:$H,0)),"")</f>
        <v/>
      </c>
      <c r="H42" s="147"/>
      <c r="I42" s="146" t="str">
        <f ca="1">IFERROR(INDEX(Events!$A:$A,MATCH(I41,Events!$H:$H,0)),"")</f>
        <v/>
      </c>
      <c r="J42" s="147"/>
      <c r="K42" s="224" t="s">
        <v>171</v>
      </c>
      <c r="L42" s="225"/>
      <c r="M42" s="191" t="s">
        <v>173</v>
      </c>
      <c r="N42" s="192"/>
      <c r="O42" s="146" t="str">
        <f ca="1">IFERROR(INDEX(Events!$A:$A,MATCH(O41,Events!$H:$H,0)),"")</f>
        <v/>
      </c>
      <c r="P42" s="147"/>
      <c r="R42" s="184"/>
    </row>
    <row r="43" spans="1:18" s="54" customFormat="1" ht="10.199999999999999" x14ac:dyDescent="0.2">
      <c r="A43" s="143"/>
      <c r="C43" s="146" t="str">
        <f ca="1">IFERROR(INDEX(Events!$A:$A,MATCH(C41,Events!$I:$I,0)),"")</f>
        <v/>
      </c>
      <c r="D43" s="147"/>
      <c r="E43" s="146" t="str">
        <f ca="1">IFERROR(INDEX(Events!$A:$A,MATCH(E41,Events!$I:$I,0)),"")</f>
        <v/>
      </c>
      <c r="F43" s="147"/>
      <c r="G43" s="146" t="str">
        <f ca="1">IFERROR(INDEX(Events!$A:$A,MATCH(G41,Events!$I:$I,0)),"")</f>
        <v/>
      </c>
      <c r="H43" s="147"/>
      <c r="I43" s="146" t="str">
        <f ca="1">IFERROR(INDEX(Events!$A:$A,MATCH(I41,Events!$I:$I,0)),"")</f>
        <v/>
      </c>
      <c r="J43" s="147"/>
      <c r="K43" s="224" t="s">
        <v>172</v>
      </c>
      <c r="L43" s="225"/>
      <c r="M43" s="209" t="s">
        <v>121</v>
      </c>
      <c r="N43" s="173"/>
      <c r="O43" s="146" t="str">
        <f ca="1">IFERROR(INDEX(Events!$A:$A,MATCH(O41,Events!$I:$I,0)),"")</f>
        <v/>
      </c>
      <c r="P43" s="147"/>
      <c r="R43" s="184"/>
    </row>
    <row r="44" spans="1:18" s="54" customFormat="1" ht="10.199999999999999" x14ac:dyDescent="0.2">
      <c r="A44" s="143"/>
      <c r="C44" s="111"/>
      <c r="D44" s="112"/>
      <c r="E44" s="111"/>
      <c r="F44" s="112"/>
      <c r="G44" s="111"/>
      <c r="H44" s="112"/>
      <c r="I44" s="111"/>
      <c r="J44" s="112"/>
      <c r="K44" s="224"/>
      <c r="L44" s="225"/>
      <c r="M44" s="212"/>
      <c r="N44" s="213"/>
      <c r="O44" s="146" t="str">
        <f ca="1">IFERROR(INDEX(Events!$A:$A,MATCH(O43,Events!$H:$H,0)),"")</f>
        <v/>
      </c>
      <c r="P44" s="147"/>
      <c r="R44" s="184"/>
    </row>
    <row r="45" spans="1:18" s="54" customFormat="1" ht="10.199999999999999" x14ac:dyDescent="0.2">
      <c r="A45" s="143"/>
      <c r="C45" s="146" t="str">
        <f ca="1">IFERROR(INDEX(Events!$A:$A,MATCH(C41,Events!$J:$J,0)),"")</f>
        <v/>
      </c>
      <c r="D45" s="147"/>
      <c r="E45" s="146" t="str">
        <f ca="1">IFERROR(INDEX(Events!$A:$A,MATCH(E41,Events!$J:$J,0)),"")</f>
        <v/>
      </c>
      <c r="F45" s="147"/>
      <c r="G45" s="146" t="str">
        <f ca="1">IFERROR(INDEX(Events!$A:$A,MATCH(G41,Events!$J:$J,0)),"")</f>
        <v/>
      </c>
      <c r="H45" s="147"/>
      <c r="I45" s="146" t="str">
        <f ca="1">IFERROR(INDEX(Events!$A:$A,MATCH(I41,Events!$J:$J,0)),"")</f>
        <v/>
      </c>
      <c r="J45" s="147"/>
      <c r="K45" s="226" t="str">
        <f ca="1">IFERROR(INDEX(Events!$A:$A,MATCH(K41,Events!$J:$J,0)),"")</f>
        <v/>
      </c>
      <c r="L45" s="227"/>
      <c r="M45" s="212" t="s">
        <v>120</v>
      </c>
      <c r="N45" s="213"/>
      <c r="O45" s="146" t="str">
        <f ca="1">IFERROR(INDEX(Events!$A:$A,MATCH(O41,Events!$J:$J,0)),"")</f>
        <v/>
      </c>
      <c r="P45" s="147"/>
      <c r="R45" s="184"/>
    </row>
    <row r="46" spans="1:18" s="1" customFormat="1" x14ac:dyDescent="0.2">
      <c r="A46" s="143"/>
      <c r="C46" s="50">
        <f>IF(O41="","",IF(MONTH(O41+1)&lt;&gt;MONTH(O41),"",O41+1))</f>
        <v>45781</v>
      </c>
      <c r="D46" s="52" t="str">
        <f>IFERROR(INDEX(Events!$A:$A,MATCH(C46,Events!$G:$G,0)),"")</f>
        <v/>
      </c>
      <c r="E46" s="50">
        <f>IF(C46="","",IF(MONTH(C46+1)&lt;&gt;MONTH(C46),"",C46+1))</f>
        <v>45782</v>
      </c>
      <c r="F46" s="97" t="s">
        <v>142</v>
      </c>
      <c r="G46" s="50">
        <f>IF(E46="","",IF(MONTH(E46+1)&lt;&gt;MONTH(E46),"",E46+1))</f>
        <v>45783</v>
      </c>
      <c r="H46" s="97" t="s">
        <v>143</v>
      </c>
      <c r="I46" s="50">
        <f>IF(G46="","",IF(MONTH(G46+1)&lt;&gt;MONTH(G46),"",G46+1))</f>
        <v>45784</v>
      </c>
      <c r="J46" s="97" t="s">
        <v>144</v>
      </c>
      <c r="K46" s="50">
        <f>IF(I46="","",IF(MONTH(I46+1)&lt;&gt;MONTH(I46),"",I46+1))</f>
        <v>45785</v>
      </c>
      <c r="L46" s="97" t="s">
        <v>145</v>
      </c>
      <c r="M46" s="50">
        <f>IF(K46="","",IF(MONTH(K46+1)&lt;&gt;MONTH(K46),"",K46+1))</f>
        <v>45786</v>
      </c>
      <c r="N46" s="97" t="s">
        <v>146</v>
      </c>
      <c r="O46" s="50">
        <f>IF(M46="","",IF(MONTH(M46+1)&lt;&gt;MONTH(M46),"",M46+1))</f>
        <v>45787</v>
      </c>
      <c r="P46" s="52" t="str">
        <f>IFERROR(INDEX(Events!$A:$A,MATCH(O46,Events!$G:$G,0)),"")</f>
        <v/>
      </c>
      <c r="R46" s="150" t="s">
        <v>130</v>
      </c>
    </row>
    <row r="47" spans="1:18" s="54" customFormat="1" ht="10.199999999999999" x14ac:dyDescent="0.2">
      <c r="A47" s="143"/>
      <c r="C47" s="146" t="str">
        <f ca="1">IFERROR(INDEX(Events!$A:$A,MATCH(C46,Events!$H:$H,0)),"")</f>
        <v/>
      </c>
      <c r="D47" s="147"/>
      <c r="E47" s="158" t="s">
        <v>175</v>
      </c>
      <c r="F47" s="216"/>
      <c r="G47" s="146" t="str">
        <f ca="1">IFERROR(INDEX(Events!$A:$A,MATCH(G46,Events!$H:$H,0)),"")</f>
        <v/>
      </c>
      <c r="H47" s="147"/>
      <c r="I47" s="146" t="str">
        <f ca="1">IFERROR(INDEX(Events!$A:$A,MATCH(I46,Events!$H:$H,0)),"")</f>
        <v/>
      </c>
      <c r="J47" s="147"/>
      <c r="K47" s="146" t="str">
        <f ca="1">IFERROR(INDEX(Events!$A:$A,MATCH(K46,Events!$H:$H,0)),"")</f>
        <v/>
      </c>
      <c r="L47" s="147"/>
      <c r="M47" s="193" t="s">
        <v>119</v>
      </c>
      <c r="N47" s="167" t="str">
        <f>IFERROR(INDEX(Events!E:E,MATCH(M47,Events!#REF!,0)),"")</f>
        <v/>
      </c>
      <c r="O47" s="146" t="str">
        <f ca="1">IFERROR(INDEX(Events!$A:$A,MATCH(O46,Events!$H:$H,0)),"")</f>
        <v/>
      </c>
      <c r="P47" s="147"/>
      <c r="R47" s="150"/>
    </row>
    <row r="48" spans="1:18" s="54" customFormat="1" ht="10.199999999999999" x14ac:dyDescent="0.2">
      <c r="A48" s="143"/>
      <c r="C48" s="146" t="str">
        <f ca="1">IFERROR(INDEX(Events!$A:$A,MATCH(C46,Events!$I:$I,0)),"")</f>
        <v/>
      </c>
      <c r="D48" s="147"/>
      <c r="E48" s="209" t="s">
        <v>121</v>
      </c>
      <c r="F48" s="173"/>
      <c r="G48" s="146" t="str">
        <f ca="1">IFERROR(INDEX(Events!$A:$A,MATCH(G46,Events!$I:$I,0)),"")</f>
        <v/>
      </c>
      <c r="H48" s="147"/>
      <c r="I48" s="146" t="str">
        <f ca="1">IFERROR(INDEX(Events!$A:$A,MATCH(I46,Events!$I:$I,0)),"")</f>
        <v/>
      </c>
      <c r="J48" s="147"/>
      <c r="K48" s="146" t="str">
        <f ca="1">IFERROR(INDEX(Events!$A:$A,MATCH(K46,Events!$I:$I,0)),"")</f>
        <v/>
      </c>
      <c r="L48" s="147"/>
      <c r="M48" s="146" t="str">
        <f ca="1">IFERROR(INDEX(Events!$A:$A,MATCH(M47,Events!$H:$H,0)),"")</f>
        <v/>
      </c>
      <c r="N48" s="147"/>
      <c r="O48" s="146" t="str">
        <f ca="1">IFERROR(INDEX(Events!$A:$A,MATCH(O46,Events!$I:$I,0)),"")</f>
        <v/>
      </c>
      <c r="P48" s="147"/>
      <c r="R48" s="150"/>
    </row>
    <row r="49" spans="1:18" s="54" customFormat="1" ht="10.199999999999999" x14ac:dyDescent="0.2">
      <c r="A49" s="143"/>
      <c r="C49" s="221" t="s">
        <v>177</v>
      </c>
      <c r="D49" s="170"/>
      <c r="E49" s="221" t="s">
        <v>177</v>
      </c>
      <c r="F49" s="170"/>
      <c r="G49" s="222" t="s">
        <v>177</v>
      </c>
      <c r="H49" s="223"/>
      <c r="I49" s="222" t="s">
        <v>177</v>
      </c>
      <c r="J49" s="223"/>
      <c r="K49" s="222" t="s">
        <v>177</v>
      </c>
      <c r="L49" s="223"/>
      <c r="M49" s="222" t="s">
        <v>177</v>
      </c>
      <c r="N49" s="223"/>
      <c r="O49" s="146" t="str">
        <f ca="1">IFERROR(INDEX(Events!$A:$A,MATCH(O46,Events!$J:$J,0)),"")</f>
        <v/>
      </c>
      <c r="P49" s="147"/>
      <c r="R49" s="150"/>
    </row>
    <row r="50" spans="1:18" s="54" customFormat="1" ht="10.199999999999999" x14ac:dyDescent="0.2">
      <c r="A50" s="143"/>
      <c r="C50" s="146" t="str">
        <f ca="1">IFERROR(INDEX(Events!$A:$A,MATCH(C46,Events!$J:$J,0)),"")</f>
        <v/>
      </c>
      <c r="D50" s="147"/>
      <c r="E50" s="211" t="s">
        <v>120</v>
      </c>
      <c r="F50" s="177"/>
      <c r="G50" s="146" t="s">
        <v>120</v>
      </c>
      <c r="H50" s="147"/>
      <c r="I50" s="146" t="s">
        <v>120</v>
      </c>
      <c r="J50" s="147"/>
      <c r="K50" s="146" t="s">
        <v>120</v>
      </c>
      <c r="L50" s="147"/>
      <c r="M50" s="146" t="s">
        <v>120</v>
      </c>
      <c r="N50" s="147"/>
      <c r="O50" s="146" t="str">
        <f ca="1">IFERROR(INDEX(Events!$A:$A,MATCH(O46,Events!$J:$J,0)),"")</f>
        <v/>
      </c>
      <c r="P50" s="147"/>
      <c r="R50" s="150"/>
    </row>
    <row r="51" spans="1:18" s="1" customFormat="1" x14ac:dyDescent="0.2">
      <c r="A51" s="143"/>
      <c r="C51" s="50">
        <f>IF(O46="","",IF(MONTH(O46+1)&lt;&gt;MONTH(O46),"",O46+1))</f>
        <v>45788</v>
      </c>
      <c r="D51" s="52"/>
      <c r="E51" s="50">
        <f>IF(C51="","",IF(MONTH(C51+1)&lt;&gt;MONTH(C51),"",C51+1))</f>
        <v>45789</v>
      </c>
      <c r="F51" s="97" t="s">
        <v>147</v>
      </c>
      <c r="G51" s="50">
        <f>IF(E51="","",IF(MONTH(E51+1)&lt;&gt;MONTH(E51),"",E51+1))</f>
        <v>45790</v>
      </c>
      <c r="H51" s="97" t="s">
        <v>151</v>
      </c>
      <c r="I51" s="50">
        <f>IF(G51="","",IF(MONTH(G51+1)&lt;&gt;MONTH(G51),"",G51+1))</f>
        <v>45791</v>
      </c>
      <c r="J51" s="97" t="s">
        <v>153</v>
      </c>
      <c r="K51" s="50">
        <f>IF(I51="","",IF(MONTH(I51+1)&lt;&gt;MONTH(I51),"",I51+1))</f>
        <v>45792</v>
      </c>
      <c r="L51" s="97" t="s">
        <v>154</v>
      </c>
      <c r="M51" s="50">
        <f>IF(K51="","",IF(MONTH(K51+1)&lt;&gt;MONTH(K51),"",K51+1))</f>
        <v>45793</v>
      </c>
      <c r="N51" s="97" t="s">
        <v>155</v>
      </c>
      <c r="O51" s="50">
        <f>IF(M51="","",IF(MONTH(M51+1)&lt;&gt;MONTH(M51),"",M51+1))</f>
        <v>45794</v>
      </c>
      <c r="P51" s="52"/>
      <c r="R51" s="150" t="s">
        <v>131</v>
      </c>
    </row>
    <row r="52" spans="1:18" s="54" customFormat="1" ht="10.199999999999999" x14ac:dyDescent="0.2">
      <c r="A52" s="143"/>
      <c r="C52" s="146" t="str">
        <f ca="1">IFERROR(INDEX(Events!$A:$A,MATCH(C51,Events!$H:$H,0)),"")</f>
        <v/>
      </c>
      <c r="D52" s="147"/>
      <c r="E52" s="146" t="str">
        <f ca="1">IFERROR(INDEX(Events!$A:$A,MATCH(E51,Events!$H:$H,0)),"")</f>
        <v/>
      </c>
      <c r="F52" s="147"/>
      <c r="G52" s="146" t="str">
        <f ca="1">IFERROR(INDEX(Events!$A:$A,MATCH(G51,Events!$H:$H,0)),"")</f>
        <v/>
      </c>
      <c r="H52" s="147"/>
      <c r="I52" s="196" t="s">
        <v>162</v>
      </c>
      <c r="J52" s="197" t="str">
        <f>IFERROR(INDEX(Events!A:A,MATCH(I52,Events!#REF!,0)),"")</f>
        <v/>
      </c>
      <c r="K52" s="146" t="str">
        <f ca="1">IFERROR(INDEX(Events!$A:$A,MATCH(K51,Events!$H:$H,0)),"")</f>
        <v/>
      </c>
      <c r="L52" s="147"/>
      <c r="M52" s="146" t="str">
        <f ca="1">IFERROR(INDEX(Events!$A:$A,MATCH(M51,Events!$H:$H,0)),"")</f>
        <v/>
      </c>
      <c r="N52" s="147"/>
      <c r="O52" s="146" t="str">
        <f ca="1">IFERROR(INDEX(Events!$A:$A,MATCH(O51,Events!$H:$H,0)),"")</f>
        <v/>
      </c>
      <c r="P52" s="147"/>
      <c r="R52" s="150"/>
    </row>
    <row r="53" spans="1:18" s="54" customFormat="1" ht="10.199999999999999" x14ac:dyDescent="0.2">
      <c r="A53" s="143"/>
      <c r="C53" s="221" t="s">
        <v>177</v>
      </c>
      <c r="D53" s="170"/>
      <c r="E53" s="222" t="s">
        <v>177</v>
      </c>
      <c r="F53" s="223"/>
      <c r="G53" s="222" t="s">
        <v>177</v>
      </c>
      <c r="H53" s="223"/>
      <c r="I53" s="221" t="s">
        <v>177</v>
      </c>
      <c r="J53" s="170"/>
      <c r="K53" s="222" t="s">
        <v>177</v>
      </c>
      <c r="L53" s="223"/>
      <c r="M53" s="222" t="s">
        <v>177</v>
      </c>
      <c r="N53" s="223"/>
      <c r="O53" s="146" t="str">
        <f ca="1">IFERROR(INDEX(Events!$A:$A,MATCH(O51,Events!$I:$I,0)),"")</f>
        <v/>
      </c>
      <c r="P53" s="147"/>
      <c r="R53" s="150"/>
    </row>
    <row r="54" spans="1:18" s="54" customFormat="1" ht="10.199999999999999" x14ac:dyDescent="0.2">
      <c r="A54" s="143"/>
      <c r="C54" s="146" t="str">
        <f ca="1">IFERROR(INDEX(Events!$A:$A,MATCH(C51,Events!$J:$J,0)),"")</f>
        <v/>
      </c>
      <c r="D54" s="147"/>
      <c r="E54" s="209" t="s">
        <v>121</v>
      </c>
      <c r="F54" s="173"/>
      <c r="G54" s="146" t="str">
        <f ca="1">IFERROR(INDEX(Events!$A:$A,MATCH(G51,Events!$I:$I,0)),"")</f>
        <v/>
      </c>
      <c r="H54" s="147"/>
      <c r="I54" s="146" t="str">
        <f ca="1">IFERROR(INDEX(Events!$A:$A,MATCH(I51,Events!$I:$I,0)),"")</f>
        <v/>
      </c>
      <c r="J54" s="147"/>
      <c r="K54" s="146" t="str">
        <f ca="1">IFERROR(INDEX(Events!$A:$A,MATCH(K51,Events!$I:$I,0)),"")</f>
        <v/>
      </c>
      <c r="L54" s="147"/>
      <c r="M54" s="146" t="str">
        <f ca="1">IFERROR(INDEX(Events!$A:$A,MATCH(M51,Events!$I:$I,0)),"")</f>
        <v/>
      </c>
      <c r="N54" s="147"/>
      <c r="O54" s="146" t="str">
        <f ca="1">IFERROR(INDEX(Events!$A:$A,MATCH(O51,Events!$I:$I,0)),"")</f>
        <v/>
      </c>
      <c r="P54" s="147"/>
      <c r="R54" s="150"/>
    </row>
    <row r="55" spans="1:18" s="54" customFormat="1" ht="10.199999999999999" x14ac:dyDescent="0.2">
      <c r="A55" s="143"/>
      <c r="C55" s="146" t="str">
        <f ca="1">IFERROR(INDEX(Events!$A:$A,MATCH(C51,Events!$J:$J,0)),"")</f>
        <v/>
      </c>
      <c r="D55" s="147"/>
      <c r="E55" s="211" t="s">
        <v>120</v>
      </c>
      <c r="F55" s="177"/>
      <c r="G55" s="146" t="s">
        <v>120</v>
      </c>
      <c r="H55" s="147"/>
      <c r="I55" s="146" t="s">
        <v>120</v>
      </c>
      <c r="J55" s="147"/>
      <c r="K55" s="146" t="s">
        <v>120</v>
      </c>
      <c r="L55" s="147"/>
      <c r="M55" s="146" t="s">
        <v>120</v>
      </c>
      <c r="N55" s="147"/>
      <c r="O55" s="146" t="str">
        <f ca="1">IFERROR(INDEX(Events!$A:$A,MATCH(O51,Events!$J:$J,0)),"")</f>
        <v/>
      </c>
      <c r="P55" s="147"/>
      <c r="R55" s="150"/>
    </row>
    <row r="56" spans="1:18" s="1" customFormat="1" x14ac:dyDescent="0.2">
      <c r="A56" s="143"/>
      <c r="C56" s="50">
        <f>IF(O51="","",IF(MONTH(O51+1)&lt;&gt;MONTH(O51),"",O51+1))</f>
        <v>45795</v>
      </c>
      <c r="D56" s="52" t="str">
        <f>IFERROR(INDEX(Events!$A:$A,MATCH(C56,Events!$G:$G,0)),"")</f>
        <v/>
      </c>
      <c r="E56" s="50">
        <f>IF(C56="","",IF(MONTH(C56+1)&lt;&gt;MONTH(C56),"",C56+1))</f>
        <v>45796</v>
      </c>
      <c r="F56" s="52"/>
      <c r="G56" s="50">
        <f>IF(E56="","",IF(MONTH(E56+1)&lt;&gt;MONTH(E56),"",E56+1))</f>
        <v>45797</v>
      </c>
      <c r="H56" s="52" t="str">
        <f>IFERROR(INDEX(Events!$A:$A,MATCH(G56,Events!$G:$G,0)),"")</f>
        <v/>
      </c>
      <c r="I56" s="50">
        <f>IF(G56="","",IF(MONTH(G56+1)&lt;&gt;MONTH(G56),"",G56+1))</f>
        <v>45798</v>
      </c>
      <c r="J56" s="52" t="str">
        <f>IFERROR(INDEX(Events!$A:$A,MATCH(I56,Events!$G:$G,0)),"")</f>
        <v/>
      </c>
      <c r="K56" s="50">
        <f>IF(I56="","",IF(MONTH(I56+1)&lt;&gt;MONTH(I56),"",I56+1))</f>
        <v>45799</v>
      </c>
      <c r="L56" s="52" t="str">
        <f>IFERROR(INDEX(Events!$A:$A,MATCH(K56,Events!$G:$G,0)),"")</f>
        <v/>
      </c>
      <c r="M56" s="50">
        <f>IF(K56="","",IF(MONTH(K56+1)&lt;&gt;MONTH(K56),"",K56+1))</f>
        <v>45800</v>
      </c>
      <c r="N56" s="52" t="str">
        <f>IFERROR(INDEX(Events!$A:$A,MATCH(M56,Events!$G:$G,0)),"")</f>
        <v/>
      </c>
      <c r="O56" s="50">
        <f>IF(M56="","",IF(MONTH(M56+1)&lt;&gt;MONTH(M56),"",M56+1))</f>
        <v>45801</v>
      </c>
      <c r="P56" s="52" t="str">
        <f>IFERROR(INDEX(Events!$A:$A,MATCH(O56,Events!$G:$G,0)),"")</f>
        <v/>
      </c>
      <c r="R56" s="150" t="s">
        <v>133</v>
      </c>
    </row>
    <row r="57" spans="1:18" s="54" customFormat="1" ht="10.199999999999999" x14ac:dyDescent="0.2">
      <c r="A57" s="143"/>
      <c r="C57" s="146" t="str">
        <f ca="1">IFERROR(INDEX(Events!$A:$A,MATCH(C56,Events!$H:$H,0)),"")</f>
        <v/>
      </c>
      <c r="D57" s="147"/>
      <c r="E57" s="146" t="str">
        <f ca="1">IFERROR(INDEX(Events!$A:$A,MATCH(E56,Events!$H:$H,0)),"")</f>
        <v/>
      </c>
      <c r="F57" s="147"/>
      <c r="G57" s="146" t="str">
        <f ca="1">IFERROR(INDEX(Events!$A:$A,MATCH(G56,Events!$H:$H,0)),"")</f>
        <v/>
      </c>
      <c r="H57" s="147"/>
      <c r="I57" s="146" t="str">
        <f ca="1">IFERROR(INDEX(Events!$A:$A,MATCH(I56,Events!$H:$H,0)),"")</f>
        <v/>
      </c>
      <c r="J57" s="147"/>
      <c r="K57" s="146" t="str">
        <f ca="1">IFERROR(INDEX(Events!$A:$A,MATCH(K56,Events!$H:$H,0)),"")</f>
        <v/>
      </c>
      <c r="L57" s="147"/>
      <c r="M57" s="146" t="str">
        <f ca="1">IFERROR(INDEX(Events!$A:$A,MATCH(M56,Events!$H:$H,0)),"")</f>
        <v/>
      </c>
      <c r="N57" s="147"/>
      <c r="O57" s="146" t="str">
        <f ca="1">IFERROR(INDEX(Events!$A:$A,MATCH(O56,Events!$H:$H,0)),"")</f>
        <v/>
      </c>
      <c r="P57" s="147"/>
      <c r="R57" s="150"/>
    </row>
    <row r="58" spans="1:18" s="54" customFormat="1" ht="10.199999999999999" x14ac:dyDescent="0.2">
      <c r="A58" s="143"/>
      <c r="C58" s="221" t="s">
        <v>177</v>
      </c>
      <c r="D58" s="170"/>
      <c r="E58" s="222" t="s">
        <v>177</v>
      </c>
      <c r="F58" s="223"/>
      <c r="G58" s="222" t="s">
        <v>177</v>
      </c>
      <c r="H58" s="223"/>
      <c r="I58" s="222" t="s">
        <v>177</v>
      </c>
      <c r="J58" s="223"/>
      <c r="K58" s="222" t="s">
        <v>177</v>
      </c>
      <c r="L58" s="223"/>
      <c r="M58" s="222" t="s">
        <v>177</v>
      </c>
      <c r="N58" s="223"/>
      <c r="O58" s="146" t="str">
        <f ca="1">IFERROR(INDEX(Events!$A:$A,MATCH(O56,Events!$I:$I,0)),"")</f>
        <v/>
      </c>
      <c r="P58" s="147"/>
      <c r="R58" s="150"/>
    </row>
    <row r="59" spans="1:18" s="54" customFormat="1" ht="10.199999999999999" x14ac:dyDescent="0.2">
      <c r="A59" s="143"/>
      <c r="C59" s="146" t="str">
        <f ca="1">IFERROR(INDEX(Events!$A:$A,MATCH(C56,Events!$J:$J,0)),"")</f>
        <v/>
      </c>
      <c r="D59" s="147"/>
      <c r="E59" s="209" t="s">
        <v>121</v>
      </c>
      <c r="F59" s="173"/>
      <c r="G59" s="146" t="str">
        <f ca="1">IFERROR(INDEX(Events!$A:$A,MATCH(G56,Events!$I:$I,0)),"")</f>
        <v/>
      </c>
      <c r="H59" s="147"/>
      <c r="I59" s="146" t="str">
        <f ca="1">IFERROR(INDEX(Events!$A:$A,MATCH(I56,Events!$I:$I,0)),"")</f>
        <v/>
      </c>
      <c r="J59" s="147"/>
      <c r="K59" s="146" t="str">
        <f ca="1">IFERROR(INDEX(Events!$A:$A,MATCH(K56,Events!$I:$I,0)),"")</f>
        <v/>
      </c>
      <c r="L59" s="147"/>
      <c r="M59" s="146" t="str">
        <f ca="1">IFERROR(INDEX(Events!$A:$A,MATCH(M56,Events!$I:$I,0)),"")</f>
        <v/>
      </c>
      <c r="N59" s="147"/>
      <c r="O59" s="146" t="str">
        <f ca="1">IFERROR(INDEX(Events!$A:$A,MATCH(O56,Events!$I:$I,0)),"")</f>
        <v/>
      </c>
      <c r="P59" s="147"/>
      <c r="R59" s="150"/>
    </row>
    <row r="60" spans="1:18" s="54" customFormat="1" ht="10.199999999999999" x14ac:dyDescent="0.2">
      <c r="A60" s="143"/>
      <c r="C60" s="146" t="str">
        <f ca="1">IFERROR(INDEX(Events!$A:$A,MATCH(C56,Events!$J:$J,0)),"")</f>
        <v/>
      </c>
      <c r="D60" s="147"/>
      <c r="E60" s="211" t="s">
        <v>120</v>
      </c>
      <c r="F60" s="177"/>
      <c r="G60" s="146" t="s">
        <v>120</v>
      </c>
      <c r="H60" s="147"/>
      <c r="I60" s="146" t="s">
        <v>120</v>
      </c>
      <c r="J60" s="147"/>
      <c r="K60" s="146" t="s">
        <v>120</v>
      </c>
      <c r="L60" s="147"/>
      <c r="M60" s="146" t="s">
        <v>120</v>
      </c>
      <c r="N60" s="147"/>
      <c r="O60" s="146" t="str">
        <f ca="1">IFERROR(INDEX(Events!$A:$A,MATCH(O56,Events!$J:$J,0)),"")</f>
        <v/>
      </c>
      <c r="P60" s="147"/>
      <c r="R60" s="150"/>
    </row>
    <row r="61" spans="1:18" x14ac:dyDescent="0.25">
      <c r="A61" s="143"/>
      <c r="C61" s="50">
        <f>IF(O56="","",IF(MONTH(O56+1)&lt;&gt;MONTH(O56),"",O56+1))</f>
        <v>45802</v>
      </c>
      <c r="D61" s="52" t="str">
        <f>IFERROR(INDEX(Events!$A:$A,MATCH(C61,Events!$G:$G,0)),"")</f>
        <v/>
      </c>
      <c r="E61" s="50">
        <f>IF(C61="","",IF(MONTH(C61+1)&lt;&gt;MONTH(C61),"",C61+1))</f>
        <v>45803</v>
      </c>
      <c r="F61" s="52"/>
      <c r="G61" s="50">
        <f>IF(E61="","",IF(MONTH(E61+1)&lt;&gt;MONTH(E61),"",E61+1))</f>
        <v>45804</v>
      </c>
      <c r="H61" s="52" t="str">
        <f>IFERROR(INDEX(Events!$A:$A,MATCH(G61,Events!$G:$G,0)),"")</f>
        <v/>
      </c>
      <c r="I61" s="50">
        <f>IF(G61="","",IF(MONTH(G61+1)&lt;&gt;MONTH(G61),"",G61+1))</f>
        <v>45805</v>
      </c>
      <c r="J61" s="52" t="str">
        <f>IFERROR(INDEX(Events!$A:$A,MATCH(I61,Events!$G:$G,0)),"")</f>
        <v/>
      </c>
      <c r="K61" s="50">
        <f>IF(I61="","",IF(MONTH(I61+1)&lt;&gt;MONTH(I61),"",I61+1))</f>
        <v>45806</v>
      </c>
      <c r="L61" s="52" t="str">
        <f>IFERROR(INDEX(Events!$A:$A,MATCH(K61,Events!$G:$G,0)),"")</f>
        <v/>
      </c>
      <c r="M61" s="50">
        <f>IF(K61="","",IF(MONTH(K61+1)&lt;&gt;MONTH(K61),"",K61+1))</f>
        <v>45807</v>
      </c>
      <c r="N61" s="52" t="str">
        <f>IFERROR(INDEX(Events!$A:$A,MATCH(M61,Events!$G:$G,0)),"")</f>
        <v/>
      </c>
      <c r="O61" s="50">
        <f>IF(M61="","",IF(MONTH(M61+1)&lt;&gt;MONTH(M61),"",M61+1))</f>
        <v>45808</v>
      </c>
      <c r="P61" s="52" t="str">
        <f>IFERROR(INDEX(Events!$A:$A,MATCH(O61,Events!$G:$G,0)),"")</f>
        <v/>
      </c>
      <c r="R61" s="150" t="s">
        <v>134</v>
      </c>
    </row>
    <row r="62" spans="1:18" s="54" customFormat="1" ht="10.199999999999999" x14ac:dyDescent="0.2">
      <c r="A62" s="143"/>
      <c r="C62" s="146" t="str">
        <f ca="1">IFERROR(INDEX(Events!$A:$A,MATCH(C61,Events!$H:$H,0)),"")</f>
        <v/>
      </c>
      <c r="D62" s="147"/>
      <c r="E62" s="146" t="str">
        <f ca="1">IFERROR(INDEX(Events!$A:$A,MATCH(E61,Events!$H:$H,0)),"")</f>
        <v/>
      </c>
      <c r="F62" s="147"/>
      <c r="G62" s="146" t="str">
        <f ca="1">IFERROR(INDEX(Events!$A:$A,MATCH(G61,Events!$H:$H,0)),"")</f>
        <v/>
      </c>
      <c r="H62" s="147"/>
      <c r="I62" s="146" t="str">
        <f ca="1">IFERROR(INDEX(Events!$A:$A,MATCH(I61,Events!$H:$H,0)),"")</f>
        <v/>
      </c>
      <c r="J62" s="147"/>
      <c r="K62" s="146" t="str">
        <f ca="1">IFERROR(INDEX(Events!$A:$A,MATCH(K61,Events!$H:$H,0)),"")</f>
        <v/>
      </c>
      <c r="L62" s="147"/>
      <c r="M62" s="146" t="str">
        <f ca="1">IFERROR(INDEX(Events!$A:$A,MATCH(M61,Events!$H:$H,0)),"")</f>
        <v/>
      </c>
      <c r="N62" s="147"/>
      <c r="O62" s="146" t="str">
        <f ca="1">IFERROR(INDEX(Events!$A:$A,MATCH(O61,Events!$H:$H,0)),"")</f>
        <v/>
      </c>
      <c r="P62" s="147"/>
      <c r="R62" s="150"/>
    </row>
    <row r="63" spans="1:18" s="54" customFormat="1" ht="10.199999999999999" x14ac:dyDescent="0.2">
      <c r="A63" s="143"/>
      <c r="C63" s="221" t="s">
        <v>177</v>
      </c>
      <c r="D63" s="170"/>
      <c r="E63" s="222" t="s">
        <v>177</v>
      </c>
      <c r="F63" s="223"/>
      <c r="G63" s="222" t="s">
        <v>177</v>
      </c>
      <c r="H63" s="223"/>
      <c r="I63" s="222" t="s">
        <v>177</v>
      </c>
      <c r="J63" s="223"/>
      <c r="K63" s="222" t="s">
        <v>177</v>
      </c>
      <c r="L63" s="223"/>
      <c r="M63" s="222" t="s">
        <v>177</v>
      </c>
      <c r="N63" s="223"/>
      <c r="O63" s="222" t="s">
        <v>177</v>
      </c>
      <c r="P63" s="223"/>
      <c r="R63" s="150"/>
    </row>
    <row r="64" spans="1:18" s="54" customFormat="1" ht="10.199999999999999" x14ac:dyDescent="0.2">
      <c r="A64" s="143"/>
      <c r="C64" s="146" t="str">
        <f ca="1">IFERROR(INDEX(Events!$A:$A,MATCH(C61,Events!$J:$J,0)),"")</f>
        <v/>
      </c>
      <c r="D64" s="147"/>
      <c r="E64" s="209" t="s">
        <v>121</v>
      </c>
      <c r="F64" s="173"/>
      <c r="G64" s="146" t="str">
        <f ca="1">IFERROR(INDEX(Events!$A:$A,MATCH(G61,Events!$I:$I,0)),"")</f>
        <v/>
      </c>
      <c r="H64" s="147"/>
      <c r="I64" s="146" t="str">
        <f ca="1">IFERROR(INDEX(Events!$A:$A,MATCH(I61,Events!$I:$I,0)),"")</f>
        <v/>
      </c>
      <c r="J64" s="147"/>
      <c r="K64" s="146" t="str">
        <f ca="1">IFERROR(INDEX(Events!$A:$A,MATCH(K61,Events!$I:$I,0)),"")</f>
        <v/>
      </c>
      <c r="L64" s="147"/>
      <c r="M64" s="146" t="str">
        <f ca="1">IFERROR(INDEX(Events!$A:$A,MATCH(M61,Events!$I:$I,0)),"")</f>
        <v/>
      </c>
      <c r="N64" s="147"/>
      <c r="O64" s="146" t="str">
        <f ca="1">IFERROR(INDEX(Events!$A:$A,MATCH(O61,Events!$I:$I,0)),"")</f>
        <v/>
      </c>
      <c r="P64" s="147"/>
      <c r="R64" s="150"/>
    </row>
    <row r="65" spans="1:18" s="54" customFormat="1" ht="10.199999999999999" x14ac:dyDescent="0.2">
      <c r="A65" s="143"/>
      <c r="C65" s="146" t="str">
        <f ca="1">IFERROR(INDEX(Events!$A:$A,MATCH(C61,Events!$J:$J,0)),"")</f>
        <v/>
      </c>
      <c r="D65" s="147"/>
      <c r="E65" s="211" t="s">
        <v>120</v>
      </c>
      <c r="F65" s="177"/>
      <c r="G65" s="211" t="s">
        <v>120</v>
      </c>
      <c r="H65" s="177"/>
      <c r="I65" s="211" t="s">
        <v>120</v>
      </c>
      <c r="J65" s="177"/>
      <c r="K65" s="211" t="s">
        <v>120</v>
      </c>
      <c r="L65" s="177"/>
      <c r="M65" s="211" t="s">
        <v>120</v>
      </c>
      <c r="N65" s="177"/>
      <c r="O65" s="211" t="s">
        <v>120</v>
      </c>
      <c r="P65" s="177"/>
      <c r="R65" s="150"/>
    </row>
    <row r="66" spans="1:18" hidden="1" x14ac:dyDescent="0.25">
      <c r="C66" s="104" t="str">
        <f>IF(O61="","",IF(MONTH(O61+1)&lt;&gt;MONTH(O61),"",O61+1))</f>
        <v/>
      </c>
      <c r="D66" s="105" t="str">
        <f>IFERROR(INDEX(Events!$A:$A,MATCH(C66,Events!$G:$G,0)),"")</f>
        <v/>
      </c>
      <c r="E66" s="104" t="str">
        <f>IF(C66="","",IF(MONTH(C66+1)&lt;&gt;MONTH(C66),"",C66+1))</f>
        <v/>
      </c>
      <c r="F66" s="105" t="str">
        <f>IFERROR(INDEX(Events!$A:$A,MATCH(E66,Events!$G:$G,0)),"")</f>
        <v/>
      </c>
    </row>
    <row r="67" spans="1:18" s="54" customFormat="1" ht="10.199999999999999" hidden="1" x14ac:dyDescent="0.2">
      <c r="C67" s="146" t="str">
        <f ca="1">IFERROR(INDEX(Events!$A:$A,MATCH(C66,Events!$H:$H,0)),"")</f>
        <v/>
      </c>
      <c r="D67" s="147"/>
      <c r="E67" s="146" t="str">
        <f ca="1">IFERROR(INDEX(Events!$A:$A,MATCH(E66,Events!$H:$H,0)),"")</f>
        <v/>
      </c>
      <c r="F67" s="147"/>
      <c r="J67" s="55"/>
      <c r="K67" s="55"/>
      <c r="L67" s="55"/>
      <c r="M67" s="55"/>
      <c r="N67" s="55"/>
      <c r="O67" s="55"/>
      <c r="P67" s="55"/>
      <c r="R67" s="101"/>
    </row>
    <row r="68" spans="1:18" s="54" customFormat="1" ht="10.199999999999999" hidden="1" x14ac:dyDescent="0.2">
      <c r="C68" s="146" t="str">
        <f ca="1">IFERROR(INDEX(Events!$A:$A,MATCH(C66,Events!$I:$I,0)),"")</f>
        <v/>
      </c>
      <c r="D68" s="147"/>
      <c r="E68" s="146" t="str">
        <f ca="1">IFERROR(INDEX(Events!$A:$A,MATCH(E66,Events!$I:$I,0)),"")</f>
        <v/>
      </c>
      <c r="F68" s="147"/>
      <c r="I68" s="142"/>
      <c r="J68" s="142"/>
      <c r="K68" s="142"/>
      <c r="L68" s="142"/>
      <c r="M68" s="142"/>
      <c r="N68" s="142"/>
      <c r="O68" s="142"/>
      <c r="P68" s="142"/>
      <c r="R68" s="101"/>
    </row>
    <row r="69" spans="1:18" s="54" customFormat="1" ht="10.199999999999999" hidden="1" x14ac:dyDescent="0.2">
      <c r="C69" s="180" t="str">
        <f ca="1">IFERROR(INDEX(Events!$A:$A,MATCH(C66,Events!$J:$J,0)),"")</f>
        <v/>
      </c>
      <c r="D69" s="181"/>
      <c r="E69" s="180" t="str">
        <f ca="1">IFERROR(INDEX(Events!$A:$A,MATCH(E66,Events!$J:$J,0)),"")</f>
        <v/>
      </c>
      <c r="F69" s="181"/>
      <c r="I69" s="142"/>
      <c r="J69" s="142"/>
      <c r="K69" s="142"/>
      <c r="L69" s="142"/>
      <c r="M69" s="142"/>
      <c r="N69" s="142"/>
      <c r="O69" s="142"/>
      <c r="P69" s="142"/>
      <c r="R69" s="101"/>
    </row>
    <row r="70" spans="1:18" ht="18" customHeight="1" x14ac:dyDescent="0.25">
      <c r="I70" s="142"/>
      <c r="J70" s="142"/>
      <c r="K70" s="142"/>
      <c r="L70" s="142"/>
      <c r="M70" s="142"/>
      <c r="N70" s="142"/>
      <c r="O70" s="142"/>
      <c r="P70" s="142"/>
    </row>
    <row r="71" spans="1:18" hidden="1" x14ac:dyDescent="0.25">
      <c r="C71" s="1" t="s">
        <v>1</v>
      </c>
      <c r="D71" s="6">
        <f>DATE(YEAR('Q1'!$D$7),MONTH('Q1'!$D$7)+5,1)</f>
        <v>45809</v>
      </c>
      <c r="E71" s="1"/>
      <c r="F71" s="1"/>
      <c r="G71" s="1"/>
      <c r="H71" s="1"/>
      <c r="I71" s="1"/>
      <c r="J71" s="1"/>
      <c r="K71" s="1"/>
      <c r="L71" s="1"/>
      <c r="M71" s="1"/>
      <c r="N71" s="1"/>
      <c r="O71" s="1"/>
      <c r="P71" s="1"/>
    </row>
    <row r="72" spans="1:18" s="56" customFormat="1" ht="18" customHeight="1" x14ac:dyDescent="0.25">
      <c r="A72" s="143">
        <f>D71</f>
        <v>45809</v>
      </c>
      <c r="C72" s="144" t="s">
        <v>109</v>
      </c>
      <c r="D72" s="145"/>
      <c r="E72" s="144" t="s">
        <v>110</v>
      </c>
      <c r="F72" s="145"/>
      <c r="G72" s="144" t="s">
        <v>111</v>
      </c>
      <c r="H72" s="145"/>
      <c r="I72" s="144" t="s">
        <v>112</v>
      </c>
      <c r="J72" s="145"/>
      <c r="K72" s="144" t="s">
        <v>113</v>
      </c>
      <c r="L72" s="145"/>
      <c r="M72" s="144" t="s">
        <v>114</v>
      </c>
      <c r="N72" s="145"/>
      <c r="O72" s="144" t="s">
        <v>115</v>
      </c>
      <c r="P72" s="145"/>
      <c r="R72" s="96" t="s">
        <v>132</v>
      </c>
    </row>
    <row r="73" spans="1:18" ht="13.2" customHeight="1" x14ac:dyDescent="0.25">
      <c r="A73" s="143"/>
      <c r="C73" s="50">
        <f>IF(WEEKDAY($D$71,1)=startday,$D$71,"")</f>
        <v>45809</v>
      </c>
      <c r="D73" s="52" t="str">
        <f>IFERROR(INDEX(Events!$A:$A,MATCH(C73,Events!$G:$G,0)),"")</f>
        <v/>
      </c>
      <c r="E73" s="107">
        <f>IF(C73="",IF(WEEKDAY($D$39,1)=MOD(startday+4,7)+1,$D$39,""),C73+1)</f>
        <v>45810</v>
      </c>
      <c r="F73" s="108" t="s">
        <v>141</v>
      </c>
      <c r="G73" s="50">
        <f>IF(E73="",IF(WEEKDAY($D$71,1)=MOD(startday+1,7)+1,$D$71,""),E73+1)</f>
        <v>45811</v>
      </c>
      <c r="H73" s="97" t="s">
        <v>142</v>
      </c>
      <c r="I73" s="50">
        <f>IF(G73="",IF(WEEKDAY($D$71,1)=MOD(startday+2,7)+1,$D$71,""),G73+1)</f>
        <v>45812</v>
      </c>
      <c r="J73" s="97" t="s">
        <v>143</v>
      </c>
      <c r="K73" s="50">
        <f>IF(I73="",IF(WEEKDAY($D$71,1)=MOD(startday+3,7)+1,$D$71,""),I73+1)</f>
        <v>45813</v>
      </c>
      <c r="L73" s="97" t="s">
        <v>144</v>
      </c>
      <c r="M73" s="50">
        <f>IF(K73="",IF(WEEKDAY($D$71,1)=MOD(startday+4,7)+1,$D$71,""),K73+1)</f>
        <v>45814</v>
      </c>
      <c r="N73" s="97" t="s">
        <v>145</v>
      </c>
      <c r="O73" s="50">
        <f>IF(M73="",IF(WEEKDAY($D$71,1)=MOD(startday+5,7)+1,$D$71,""),M73+1)</f>
        <v>45815</v>
      </c>
      <c r="P73" s="52" t="str">
        <f>IFERROR(INDEX(Events!$A:$A,MATCH(O73,Events!$G:$G,0)),"")</f>
        <v/>
      </c>
      <c r="R73" s="198" t="s">
        <v>136</v>
      </c>
    </row>
    <row r="74" spans="1:18" s="54" customFormat="1" ht="10.199999999999999" customHeight="1" x14ac:dyDescent="0.2">
      <c r="A74" s="143"/>
      <c r="C74" s="146" t="str">
        <f ca="1">IFERROR(INDEX(Events!$A:$A,MATCH(C73,Events!$H:$H,0)),"")</f>
        <v/>
      </c>
      <c r="D74" s="147"/>
      <c r="E74" s="191" t="s">
        <v>174</v>
      </c>
      <c r="F74" s="192"/>
      <c r="G74" s="158" t="s">
        <v>175</v>
      </c>
      <c r="H74" s="216"/>
      <c r="I74" s="146" t="str">
        <f ca="1">IFERROR(INDEX(Events!$A:$A,MATCH(I73,Events!$H:$H,0)),"")</f>
        <v/>
      </c>
      <c r="J74" s="147"/>
      <c r="K74" s="146" t="str">
        <f ca="1">IFERROR(INDEX(Events!$A:$A,MATCH(K73,Events!$H:$H,0)),"")</f>
        <v/>
      </c>
      <c r="L74" s="147"/>
      <c r="M74" s="146" t="str">
        <f ca="1">IFERROR(INDEX(Events!$A:$A,MATCH(M73,Events!$H:$H,0)),"")</f>
        <v/>
      </c>
      <c r="N74" s="147"/>
      <c r="O74" s="146" t="str">
        <f ca="1">IFERROR(INDEX(Events!$A:$A,MATCH(O73,Events!$H:$H,0)),"")</f>
        <v/>
      </c>
      <c r="P74" s="147"/>
      <c r="R74" s="150"/>
    </row>
    <row r="75" spans="1:18" s="54" customFormat="1" ht="10.199999999999999" customHeight="1" x14ac:dyDescent="0.2">
      <c r="A75" s="143"/>
      <c r="C75" s="146" t="str">
        <f ca="1">IFERROR(INDEX(Events!$A:$A,MATCH(C73,Events!$I:$I,0)),"")</f>
        <v/>
      </c>
      <c r="D75" s="147"/>
      <c r="E75" s="191"/>
      <c r="F75" s="192"/>
      <c r="G75" s="146" t="str">
        <f ca="1">IFERROR(INDEX(Events!$A:$A,MATCH(G72,Events!$I:$I,0)),"")</f>
        <v/>
      </c>
      <c r="H75" s="147"/>
      <c r="I75" s="146" t="str">
        <f ca="1">IFERROR(INDEX(Events!$A:$A,MATCH(I72,Events!$I:$I,0)),"")</f>
        <v/>
      </c>
      <c r="J75" s="147"/>
      <c r="K75" s="146" t="str">
        <f ca="1">IFERROR(INDEX(Events!$A:$A,MATCH(K72,Events!$I:$I,0)),"")</f>
        <v/>
      </c>
      <c r="L75" s="147"/>
      <c r="M75" s="146" t="str">
        <f ca="1">IFERROR(INDEX(Events!$A:$A,MATCH(M72,Events!$I:$I,0)),"")</f>
        <v/>
      </c>
      <c r="N75" s="147"/>
      <c r="O75" s="146" t="str">
        <f ca="1">IFERROR(INDEX(Events!$A:$A,MATCH(O72,Events!$I:$I,0)),"")</f>
        <v/>
      </c>
      <c r="P75" s="147"/>
      <c r="R75" s="150"/>
    </row>
    <row r="76" spans="1:18" s="54" customFormat="1" ht="10.199999999999999" customHeight="1" x14ac:dyDescent="0.2">
      <c r="A76" s="143"/>
      <c r="C76" s="222" t="s">
        <v>177</v>
      </c>
      <c r="D76" s="223"/>
      <c r="E76" s="209" t="s">
        <v>121</v>
      </c>
      <c r="F76" s="173"/>
      <c r="G76" s="146" t="str">
        <f ca="1">IFERROR(INDEX(Events!$A:$A,MATCH(G73,Events!$I:$I,0)),"")</f>
        <v/>
      </c>
      <c r="H76" s="147"/>
      <c r="I76" s="146" t="str">
        <f ca="1">IFERROR(INDEX(Events!$A:$A,MATCH(I73,Events!$I:$I,0)),"")</f>
        <v/>
      </c>
      <c r="J76" s="147"/>
      <c r="K76" s="146" t="str">
        <f ca="1">IFERROR(INDEX(Events!$A:$A,MATCH(K73,Events!$I:$I,0)),"")</f>
        <v/>
      </c>
      <c r="L76" s="147"/>
      <c r="M76" s="146" t="str">
        <f ca="1">IFERROR(INDEX(Events!$A:$A,MATCH(M73,Events!$I:$I,0)),"")</f>
        <v/>
      </c>
      <c r="N76" s="147"/>
      <c r="O76" s="146" t="str">
        <f ca="1">IFERROR(INDEX(Events!$A:$A,MATCH(O73,Events!$I:$I,0)),"")</f>
        <v/>
      </c>
      <c r="P76" s="147"/>
      <c r="R76" s="150"/>
    </row>
    <row r="77" spans="1:18" s="54" customFormat="1" ht="10.199999999999999" customHeight="1" x14ac:dyDescent="0.2">
      <c r="A77" s="143"/>
      <c r="C77" s="146"/>
      <c r="D77" s="147"/>
      <c r="E77" s="212" t="s">
        <v>120</v>
      </c>
      <c r="F77" s="213"/>
      <c r="G77" s="146" t="s">
        <v>120</v>
      </c>
      <c r="H77" s="147"/>
      <c r="I77" s="146" t="s">
        <v>120</v>
      </c>
      <c r="J77" s="147"/>
      <c r="K77" s="146" t="s">
        <v>120</v>
      </c>
      <c r="L77" s="147"/>
      <c r="M77" s="146" t="s">
        <v>120</v>
      </c>
      <c r="N77" s="147"/>
      <c r="O77" s="146" t="str">
        <f ca="1">IFERROR(INDEX(Events!$A:$A,MATCH(O73,Events!$J:$J,0)),"")</f>
        <v/>
      </c>
      <c r="P77" s="147"/>
      <c r="R77" s="150"/>
    </row>
    <row r="78" spans="1:18" x14ac:dyDescent="0.25">
      <c r="A78" s="143"/>
      <c r="C78" s="50">
        <f>IF(O73="","",IF(MONTH(O73+1)&lt;&gt;MONTH(O73),"",O73+1))</f>
        <v>45816</v>
      </c>
      <c r="D78" s="52"/>
      <c r="E78" s="50">
        <f>IF(C78="","",IF(MONTH(C78+1)&lt;&gt;MONTH(C78),"",C78+1))</f>
        <v>45817</v>
      </c>
      <c r="F78" s="97" t="s">
        <v>146</v>
      </c>
      <c r="G78" s="50">
        <f>IF(E78="","",IF(MONTH(E78+1)&lt;&gt;MONTH(E78),"",E78+1))</f>
        <v>45818</v>
      </c>
      <c r="H78" s="97" t="s">
        <v>147</v>
      </c>
      <c r="I78" s="50">
        <f>IF(G78="","",IF(MONTH(G78+1)&lt;&gt;MONTH(G78),"",G78+1))</f>
        <v>45819</v>
      </c>
      <c r="J78" s="97" t="s">
        <v>151</v>
      </c>
      <c r="K78" s="50">
        <f>IF(I78="","",IF(MONTH(I78+1)&lt;&gt;MONTH(I78),"",I78+1))</f>
        <v>45820</v>
      </c>
      <c r="L78" s="97" t="s">
        <v>153</v>
      </c>
      <c r="M78" s="50">
        <f>IF(K78="","",IF(MONTH(K78+1)&lt;&gt;MONTH(K78),"",K78+1))</f>
        <v>45821</v>
      </c>
      <c r="N78" s="97" t="s">
        <v>154</v>
      </c>
      <c r="O78" s="50">
        <f>IF(M78="","",IF(MONTH(M78+1)&lt;&gt;MONTH(M78),"",M78+1))</f>
        <v>45822</v>
      </c>
      <c r="P78" s="52"/>
      <c r="R78" s="150" t="s">
        <v>137</v>
      </c>
    </row>
    <row r="79" spans="1:18" s="54" customFormat="1" ht="10.199999999999999" customHeight="1" x14ac:dyDescent="0.2">
      <c r="A79" s="143"/>
      <c r="C79" s="146" t="str">
        <f ca="1">IFERROR(INDEX(Events!$A:$A,MATCH(C78,Events!$H:$H,0)),"")</f>
        <v/>
      </c>
      <c r="D79" s="147"/>
      <c r="E79" s="193" t="s">
        <v>119</v>
      </c>
      <c r="F79" s="167" t="str">
        <f>IFERROR(INDEX(Events!#REF!,MATCH(E79,Events!#REF!,0)),"")</f>
        <v/>
      </c>
      <c r="I79" s="146" t="str">
        <f ca="1">IFERROR(INDEX(Events!$A:$A,MATCH(I78,Events!$H:$H,0)),"")</f>
        <v/>
      </c>
      <c r="J79" s="147"/>
      <c r="K79" s="196" t="s">
        <v>162</v>
      </c>
      <c r="L79" s="197" t="str">
        <f>IFERROR(INDEX(Events!E:E,MATCH(K79,Events!#REF!,0)),"")</f>
        <v/>
      </c>
      <c r="O79" s="146" t="str">
        <f ca="1">IFERROR(INDEX(Events!$A:$A,MATCH(O78,Events!$H:$H,0)),"")</f>
        <v/>
      </c>
      <c r="P79" s="147"/>
      <c r="R79" s="150"/>
    </row>
    <row r="80" spans="1:18" s="54" customFormat="1" ht="10.199999999999999" customHeight="1" x14ac:dyDescent="0.2">
      <c r="A80" s="143"/>
      <c r="C80" s="221" t="s">
        <v>177</v>
      </c>
      <c r="D80" s="170"/>
      <c r="E80" s="221" t="s">
        <v>177</v>
      </c>
      <c r="F80" s="170"/>
      <c r="G80" s="222" t="s">
        <v>177</v>
      </c>
      <c r="H80" s="223"/>
      <c r="I80" s="222" t="s">
        <v>177</v>
      </c>
      <c r="J80" s="223"/>
      <c r="K80" s="221" t="s">
        <v>177</v>
      </c>
      <c r="L80" s="170"/>
      <c r="M80" s="222" t="s">
        <v>177</v>
      </c>
      <c r="N80" s="223"/>
      <c r="O80" s="146" t="str">
        <f ca="1">IFERROR(INDEX(Events!$A:$A,MATCH(O78,Events!$I:$I,0)),"")</f>
        <v/>
      </c>
      <c r="P80" s="147"/>
      <c r="R80" s="150"/>
    </row>
    <row r="81" spans="1:18" s="54" customFormat="1" ht="10.199999999999999" customHeight="1" x14ac:dyDescent="0.2">
      <c r="A81" s="143"/>
      <c r="C81" s="146" t="str">
        <f ca="1">IFERROR(INDEX(Events!$A:$A,MATCH(C78,Events!$I:$I,0)),"")</f>
        <v/>
      </c>
      <c r="D81" s="147"/>
      <c r="E81" s="209" t="s">
        <v>121</v>
      </c>
      <c r="F81" s="173"/>
      <c r="G81" s="146" t="str">
        <f ca="1">IFERROR(INDEX(Events!$A:$A,MATCH(G78,Events!$I:$I,0)),"")</f>
        <v/>
      </c>
      <c r="H81" s="147"/>
      <c r="I81" s="146" t="str">
        <f ca="1">IFERROR(INDEX(Events!$A:$A,MATCH(I78,Events!$I:$I,0)),"")</f>
        <v/>
      </c>
      <c r="J81" s="147"/>
      <c r="K81" s="146" t="str">
        <f ca="1">IFERROR(INDEX(Events!$A:$A,MATCH(K78,Events!$I:$I,0)),"")</f>
        <v/>
      </c>
      <c r="L81" s="147"/>
      <c r="M81" s="146" t="str">
        <f ca="1">IFERROR(INDEX(Events!$A:$A,MATCH(M78,Events!$I:$I,0)),"")</f>
        <v/>
      </c>
      <c r="N81" s="147"/>
      <c r="O81" s="146"/>
      <c r="P81" s="147"/>
      <c r="R81" s="150"/>
    </row>
    <row r="82" spans="1:18" s="54" customFormat="1" ht="10.199999999999999" customHeight="1" x14ac:dyDescent="0.2">
      <c r="A82" s="143"/>
      <c r="C82" s="146" t="str">
        <f ca="1">IFERROR(INDEX(Events!$A:$A,MATCH(C78,Events!$J:$J,0)),"")</f>
        <v/>
      </c>
      <c r="D82" s="147"/>
      <c r="E82" s="146" t="s">
        <v>120</v>
      </c>
      <c r="F82" s="147"/>
      <c r="G82" s="146" t="s">
        <v>120</v>
      </c>
      <c r="H82" s="147"/>
      <c r="I82" s="146" t="s">
        <v>120</v>
      </c>
      <c r="J82" s="147"/>
      <c r="K82" s="146" t="s">
        <v>120</v>
      </c>
      <c r="L82" s="147"/>
      <c r="M82" s="146" t="s">
        <v>120</v>
      </c>
      <c r="N82" s="147"/>
      <c r="O82" s="146" t="str">
        <f ca="1">IFERROR(INDEX(Events!$A:$A,MATCH(O78,Events!$J:$J,0)),"")</f>
        <v/>
      </c>
      <c r="P82" s="147"/>
      <c r="R82" s="150"/>
    </row>
    <row r="83" spans="1:18" x14ac:dyDescent="0.25">
      <c r="A83" s="143"/>
      <c r="C83" s="50">
        <f>IF(O78="","",IF(MONTH(O78+1)&lt;&gt;MONTH(O78),"",O78+1))</f>
        <v>45823</v>
      </c>
      <c r="D83" s="52"/>
      <c r="E83" s="50">
        <f>IF(C83="","",IF(MONTH(C83+1)&lt;&gt;MONTH(C83),"",C83+1))</f>
        <v>45824</v>
      </c>
      <c r="F83" s="52" t="str">
        <f>IFERROR(INDEX(Events!$A:$A,MATCH(E83,Events!$G:$G,0)),"")</f>
        <v/>
      </c>
      <c r="G83" s="50">
        <f>IF(E83="","",IF(MONTH(E83+1)&lt;&gt;MONTH(E83),"",E83+1))</f>
        <v>45825</v>
      </c>
      <c r="H83" s="52" t="str">
        <f>IFERROR(INDEX(Events!$A:$A,MATCH(G83,Events!$G:$G,0)),"")</f>
        <v/>
      </c>
      <c r="I83" s="50">
        <f>IF(G83="","",IF(MONTH(G83+1)&lt;&gt;MONTH(G83),"",G83+1))</f>
        <v>45826</v>
      </c>
      <c r="J83" s="52" t="str">
        <f>IFERROR(INDEX(Events!$A:$A,MATCH(I83,Events!$G:$G,0)),"")</f>
        <v/>
      </c>
      <c r="K83" s="50">
        <f>IF(I83="","",IF(MONTH(I83+1)&lt;&gt;MONTH(I83),"",I83+1))</f>
        <v>45827</v>
      </c>
      <c r="L83" s="52"/>
      <c r="M83" s="50">
        <f>IF(K83="","",IF(MONTH(K83+1)&lt;&gt;MONTH(K83),"",K83+1))</f>
        <v>45828</v>
      </c>
      <c r="N83" s="52" t="str">
        <f>IFERROR(INDEX(Events!$A:$A,MATCH(M83,Events!$G:$G,0)),"")</f>
        <v/>
      </c>
      <c r="O83" s="50">
        <f>IF(M83="","",IF(MONTH(M83+1)&lt;&gt;MONTH(M83),"",M83+1))</f>
        <v>45829</v>
      </c>
      <c r="P83" s="52"/>
      <c r="R83" s="150" t="s">
        <v>138</v>
      </c>
    </row>
    <row r="84" spans="1:18" s="54" customFormat="1" ht="10.199999999999999" customHeight="1" x14ac:dyDescent="0.2">
      <c r="A84" s="143"/>
      <c r="C84" s="146" t="str">
        <f ca="1">IFERROR(INDEX(Events!$A:$A,MATCH(C83,Events!$H:$H,0)),"")</f>
        <v/>
      </c>
      <c r="D84" s="147"/>
      <c r="E84" s="146" t="str">
        <f ca="1">IFERROR(INDEX(Events!$A:$A,MATCH(E83,Events!$H:$H,0)),"")</f>
        <v/>
      </c>
      <c r="F84" s="147"/>
      <c r="G84" s="146" t="str">
        <f ca="1">IFERROR(INDEX(Events!$A:$A,MATCH(G83,Events!$H:$H,0)),"")</f>
        <v/>
      </c>
      <c r="H84" s="147"/>
      <c r="I84" s="146" t="str">
        <f ca="1">IFERROR(INDEX(Events!$A:$A,MATCH(I83,Events!$H:$H,0)),"")</f>
        <v/>
      </c>
      <c r="J84" s="147"/>
      <c r="K84" s="146" t="str">
        <f ca="1">IFERROR(INDEX(Events!$A:$A,MATCH(K83,Events!$H:$H,0)),"")</f>
        <v/>
      </c>
      <c r="L84" s="147"/>
      <c r="M84" s="146" t="str">
        <f ca="1">IFERROR(INDEX(Events!$A:$A,MATCH(M83,Events!$H:$H,0)),"")</f>
        <v/>
      </c>
      <c r="N84" s="147"/>
      <c r="O84" s="146" t="str">
        <f ca="1">IFERROR(INDEX(Events!$A:$A,MATCH(O83,Events!$H:$H,0)),"")</f>
        <v/>
      </c>
      <c r="P84" s="147"/>
      <c r="R84" s="150"/>
    </row>
    <row r="85" spans="1:18" s="54" customFormat="1" ht="10.199999999999999" customHeight="1" x14ac:dyDescent="0.2">
      <c r="A85" s="143"/>
      <c r="C85" s="221" t="s">
        <v>177</v>
      </c>
      <c r="D85" s="170"/>
      <c r="E85" s="222" t="s">
        <v>177</v>
      </c>
      <c r="F85" s="223"/>
      <c r="G85" s="222" t="s">
        <v>177</v>
      </c>
      <c r="H85" s="223"/>
      <c r="I85" s="222" t="s">
        <v>177</v>
      </c>
      <c r="J85" s="223"/>
      <c r="K85" s="222" t="s">
        <v>177</v>
      </c>
      <c r="L85" s="223"/>
      <c r="M85" s="222" t="s">
        <v>177</v>
      </c>
      <c r="N85" s="223"/>
      <c r="O85" s="222" t="s">
        <v>177</v>
      </c>
      <c r="P85" s="223"/>
      <c r="R85" s="150"/>
    </row>
    <row r="86" spans="1:18" s="54" customFormat="1" ht="10.199999999999999" customHeight="1" x14ac:dyDescent="0.2">
      <c r="A86" s="143"/>
      <c r="C86" s="146" t="str">
        <f ca="1">IFERROR(INDEX(Events!$A:$A,MATCH(C83,Events!$J:$J,0)),"")</f>
        <v/>
      </c>
      <c r="D86" s="147"/>
      <c r="E86" s="209" t="s">
        <v>121</v>
      </c>
      <c r="F86" s="173"/>
      <c r="G86" s="209" t="s">
        <v>121</v>
      </c>
      <c r="H86" s="173"/>
      <c r="I86" s="209" t="s">
        <v>121</v>
      </c>
      <c r="J86" s="173"/>
      <c r="K86" s="209" t="s">
        <v>121</v>
      </c>
      <c r="L86" s="173"/>
      <c r="M86" s="209" t="s">
        <v>121</v>
      </c>
      <c r="N86" s="173"/>
      <c r="O86" s="146" t="str">
        <f ca="1">IFERROR(INDEX(Events!$A:$A,MATCH(O83,Events!$I:$I,0)),"")</f>
        <v/>
      </c>
      <c r="P86" s="147"/>
      <c r="R86" s="150"/>
    </row>
    <row r="87" spans="1:18" s="54" customFormat="1" ht="10.199999999999999" customHeight="1" x14ac:dyDescent="0.2">
      <c r="A87" s="143"/>
      <c r="C87" s="146" t="str">
        <f ca="1">IFERROR(INDEX(Events!$A:$A,MATCH(C83,Events!$J:$J,0)),"")</f>
        <v/>
      </c>
      <c r="D87" s="147"/>
      <c r="E87" s="146" t="s">
        <v>120</v>
      </c>
      <c r="F87" s="147"/>
      <c r="G87" s="146" t="s">
        <v>120</v>
      </c>
      <c r="H87" s="147"/>
      <c r="I87" s="146" t="s">
        <v>120</v>
      </c>
      <c r="J87" s="147"/>
      <c r="K87" s="146" t="s">
        <v>120</v>
      </c>
      <c r="L87" s="147"/>
      <c r="M87" s="146" t="s">
        <v>120</v>
      </c>
      <c r="N87" s="147"/>
      <c r="O87" s="146" t="s">
        <v>120</v>
      </c>
      <c r="P87" s="147"/>
      <c r="R87" s="150"/>
    </row>
    <row r="88" spans="1:18" x14ac:dyDescent="0.25">
      <c r="A88" s="143"/>
      <c r="C88" s="50">
        <f>IF(O83="","",IF(MONTH(O83+1)&lt;&gt;MONTH(O83),"",O83+1))</f>
        <v>45830</v>
      </c>
      <c r="D88" s="52" t="str">
        <f>IFERROR(INDEX(Events!$A:$A,MATCH(C88,Events!$G:$G,0)),"")</f>
        <v/>
      </c>
      <c r="E88" s="50">
        <f>IF(C88="","",IF(MONTH(C88+1)&lt;&gt;MONTH(C88),"",C88+1))</f>
        <v>45831</v>
      </c>
      <c r="F88" s="52" t="str">
        <f>IFERROR(INDEX(Events!$A:$A,MATCH(E88,Events!$G:$G,0)),"")</f>
        <v/>
      </c>
      <c r="G88" s="50">
        <f>IF(E88="","",IF(MONTH(E88+1)&lt;&gt;MONTH(E88),"",E88+1))</f>
        <v>45832</v>
      </c>
      <c r="H88" s="52" t="str">
        <f>IFERROR(INDEX(Events!$A:$A,MATCH(G88,Events!$G:$G,0)),"")</f>
        <v/>
      </c>
      <c r="I88" s="50">
        <f>IF(G88="","",IF(MONTH(G88+1)&lt;&gt;MONTH(G88),"",G88+1))</f>
        <v>45833</v>
      </c>
      <c r="J88" s="52" t="str">
        <f>IFERROR(INDEX(Events!$A:$A,MATCH(I88,Events!$G:$G,0)),"")</f>
        <v/>
      </c>
      <c r="K88" s="50">
        <f>IF(I88="","",IF(MONTH(I88+1)&lt;&gt;MONTH(I88),"",I88+1))</f>
        <v>45834</v>
      </c>
      <c r="L88" s="52" t="str">
        <f>IFERROR(INDEX(Events!$A:$A,MATCH(K88,Events!$G:$G,0)),"")</f>
        <v/>
      </c>
      <c r="M88" s="50">
        <f>IF(K88="","",IF(MONTH(K88+1)&lt;&gt;MONTH(K88),"",K88+1))</f>
        <v>45835</v>
      </c>
      <c r="N88" s="52" t="str">
        <f>IFERROR(INDEX(Events!$A:$A,MATCH(M88,Events!$G:$G,0)),"")</f>
        <v/>
      </c>
      <c r="O88" s="50">
        <f>IF(M88="","",IF(MONTH(M88+1)&lt;&gt;MONTH(M88),"",M88+1))</f>
        <v>45836</v>
      </c>
      <c r="P88" s="52" t="str">
        <f>IFERROR(INDEX(Events!$A:$A,MATCH(O88,Events!$G:$G,0)),"")</f>
        <v/>
      </c>
      <c r="R88" s="150" t="s">
        <v>139</v>
      </c>
    </row>
    <row r="89" spans="1:18" x14ac:dyDescent="0.25">
      <c r="A89" s="143"/>
      <c r="C89" s="146" t="str">
        <f ca="1">IFERROR(INDEX(Events!$A:$A,MATCH(C88,Events!$H:$H,0)),"")</f>
        <v/>
      </c>
      <c r="D89" s="147"/>
      <c r="E89" s="146" t="str">
        <f ca="1">IFERROR(INDEX(Events!$A:$A,MATCH(E87,Events!$H:$H,0)),"")</f>
        <v/>
      </c>
      <c r="F89" s="147"/>
      <c r="G89" s="146" t="str">
        <f ca="1">IFERROR(INDEX(Events!$A:$A,MATCH(G87,Events!$H:$H,0)),"")</f>
        <v/>
      </c>
      <c r="H89" s="147"/>
      <c r="I89" s="146" t="str">
        <f ca="1">IFERROR(INDEX(Events!$A:$A,MATCH(I87,Events!$H:$H,0)),"")</f>
        <v/>
      </c>
      <c r="J89" s="147"/>
      <c r="K89" s="146" t="str">
        <f ca="1">IFERROR(INDEX(Events!$A:$A,MATCH(K87,Events!$H:$H,0)),"")</f>
        <v/>
      </c>
      <c r="L89" s="147"/>
      <c r="M89" s="146" t="str">
        <f ca="1">IFERROR(INDEX(Events!$A:$A,MATCH(M87,Events!$H:$H,0)),"")</f>
        <v/>
      </c>
      <c r="N89" s="147"/>
      <c r="O89" s="146" t="str">
        <f ca="1">IFERROR(INDEX(Events!$A:$A,MATCH(O87,Events!$H:$H,0)),"")</f>
        <v/>
      </c>
      <c r="P89" s="147"/>
      <c r="R89" s="150"/>
    </row>
    <row r="90" spans="1:18" s="54" customFormat="1" ht="10.199999999999999" customHeight="1" x14ac:dyDescent="0.2">
      <c r="A90" s="143"/>
      <c r="C90" s="221" t="s">
        <v>177</v>
      </c>
      <c r="D90" s="170"/>
      <c r="E90" s="222" t="s">
        <v>177</v>
      </c>
      <c r="F90" s="223"/>
      <c r="G90" s="222" t="s">
        <v>177</v>
      </c>
      <c r="H90" s="223"/>
      <c r="I90" s="222" t="s">
        <v>177</v>
      </c>
      <c r="J90" s="223"/>
      <c r="K90" s="222" t="s">
        <v>177</v>
      </c>
      <c r="L90" s="223"/>
      <c r="M90" s="222" t="s">
        <v>177</v>
      </c>
      <c r="N90" s="223"/>
      <c r="O90" s="222" t="s">
        <v>177</v>
      </c>
      <c r="P90" s="223"/>
      <c r="R90" s="150"/>
    </row>
    <row r="91" spans="1:18" s="54" customFormat="1" ht="10.199999999999999" customHeight="1" x14ac:dyDescent="0.2">
      <c r="A91" s="143"/>
      <c r="C91" s="146" t="str">
        <f ca="1">IFERROR(INDEX(Events!$A:$A,MATCH(C88,Events!$J:$J,0)),"")</f>
        <v/>
      </c>
      <c r="D91" s="147"/>
      <c r="E91" s="209" t="s">
        <v>121</v>
      </c>
      <c r="F91" s="173"/>
      <c r="G91" s="209" t="s">
        <v>121</v>
      </c>
      <c r="H91" s="173"/>
      <c r="I91" s="209" t="s">
        <v>121</v>
      </c>
      <c r="J91" s="173"/>
      <c r="K91" s="209" t="s">
        <v>121</v>
      </c>
      <c r="L91" s="173"/>
      <c r="M91" s="209" t="s">
        <v>121</v>
      </c>
      <c r="N91" s="173"/>
      <c r="O91" s="209" t="s">
        <v>121</v>
      </c>
      <c r="P91" s="173"/>
      <c r="R91" s="150"/>
    </row>
    <row r="92" spans="1:18" s="54" customFormat="1" ht="10.199999999999999" customHeight="1" x14ac:dyDescent="0.2">
      <c r="A92" s="143"/>
      <c r="C92" s="146" t="str">
        <f ca="1">IFERROR(INDEX(Events!$A:$A,MATCH(C88,Events!$J:$J,0)),"")</f>
        <v/>
      </c>
      <c r="D92" s="147"/>
      <c r="E92" s="211" t="s">
        <v>120</v>
      </c>
      <c r="F92" s="177"/>
      <c r="G92" s="146" t="s">
        <v>120</v>
      </c>
      <c r="H92" s="147"/>
      <c r="I92" s="146" t="s">
        <v>120</v>
      </c>
      <c r="J92" s="147"/>
      <c r="K92" s="146" t="s">
        <v>120</v>
      </c>
      <c r="L92" s="147"/>
      <c r="M92" s="146" t="s">
        <v>120</v>
      </c>
      <c r="N92" s="147"/>
      <c r="O92" s="146" t="s">
        <v>120</v>
      </c>
      <c r="P92" s="147"/>
      <c r="R92" s="150"/>
    </row>
    <row r="93" spans="1:18" x14ac:dyDescent="0.25">
      <c r="A93" s="143"/>
      <c r="C93" s="50">
        <f>IF(O88="","",IF(MONTH(O88+1)&lt;&gt;MONTH(O88),"",O88+1))</f>
        <v>45837</v>
      </c>
      <c r="D93" s="52" t="str">
        <f>IFERROR(INDEX(Events!$A:$A,MATCH(C93,Events!$G:$G,0)),"")</f>
        <v/>
      </c>
      <c r="E93" s="50">
        <f>IF(C93="","",IF(MONTH(C93+1)&lt;&gt;MONTH(C93),"",C93+1))</f>
        <v>45838</v>
      </c>
      <c r="F93" s="52" t="str">
        <f>IFERROR(INDEX(Events!$A:$A,MATCH(E93,Events!$G:$G,0)),"")</f>
        <v/>
      </c>
      <c r="G93" s="91">
        <f>IF(E93="",IF(WEEKDAY($D$7,1)=MOD(startday+1,7)+1,$D$7,""),E93+1)</f>
        <v>45839</v>
      </c>
      <c r="H93" s="92" t="s">
        <v>141</v>
      </c>
      <c r="I93" s="50">
        <f>IF(G93="","",IF(MONTH(G93+1)&lt;&gt;MONTH(G93),"",G93+1))</f>
        <v>45840</v>
      </c>
      <c r="J93" s="52" t="str">
        <f>IFERROR(INDEX(Events!$A:$A,MATCH(I93,Events!$G:$G,0)),"")</f>
        <v/>
      </c>
      <c r="K93" s="50">
        <f>IF(I93="","",IF(MONTH(I93+1)&lt;&gt;MONTH(I93),"",I93+1))</f>
        <v>45841</v>
      </c>
      <c r="L93" s="52" t="str">
        <f>IFERROR(INDEX(Events!$A:$A,MATCH(K93,Events!$G:$G,0)),"")</f>
        <v/>
      </c>
      <c r="M93" s="50">
        <f>IF(K93="","",IF(MONTH(K93+1)&lt;&gt;MONTH(K93),"",K93+1))</f>
        <v>45842</v>
      </c>
      <c r="N93" s="52" t="str">
        <f>IFERROR(INDEX(Events!$A:$A,MATCH(M93,Events!$G:$G,0)),"")</f>
        <v>Independence Day</v>
      </c>
      <c r="O93" s="50">
        <f>IF(M93="","",IF(MONTH(M93+1)&lt;&gt;MONTH(M93),"",M93+1))</f>
        <v>45843</v>
      </c>
      <c r="P93" s="52" t="str">
        <f>IFERROR(INDEX(Events!$A:$A,MATCH(O93,Events!$G:$G,0)),"")</f>
        <v/>
      </c>
      <c r="R93" s="184" t="s">
        <v>140</v>
      </c>
    </row>
    <row r="94" spans="1:18" x14ac:dyDescent="0.25">
      <c r="A94" s="143"/>
      <c r="C94" s="146" t="str">
        <f ca="1">IFERROR(INDEX(Events!$A:$A,MATCH(C93,Events!$H:$H,0)),"")</f>
        <v/>
      </c>
      <c r="D94" s="147"/>
      <c r="E94" s="146" t="str">
        <f ca="1">IFERROR(INDEX(Events!$A:$A,MATCH(E92,Events!$H:$H,0)),"")</f>
        <v/>
      </c>
      <c r="F94" s="147"/>
      <c r="G94" s="151" t="s">
        <v>116</v>
      </c>
      <c r="H94" s="152" t="str">
        <f>IFERROR(INDEX(Events!#REF!,MATCH(G94,Events!E:E,0)),"")</f>
        <v/>
      </c>
      <c r="I94" s="153" t="s">
        <v>181</v>
      </c>
      <c r="J94" s="154"/>
      <c r="K94" s="146" t="str">
        <f ca="1">IFERROR(INDEX(Events!$A:$A,MATCH(K92,Events!$H:$H,0)),"")</f>
        <v/>
      </c>
      <c r="L94" s="147"/>
      <c r="M94" s="146" t="str">
        <f ca="1">IFERROR(INDEX(Events!$A:$A,MATCH(M92,Events!$H:$H,0)),"")</f>
        <v/>
      </c>
      <c r="N94" s="147"/>
      <c r="O94" s="146" t="str">
        <f ca="1">IFERROR(INDEX(Events!$A:$A,MATCH(O92,Events!$H:$H,0)),"")</f>
        <v/>
      </c>
      <c r="P94" s="147"/>
      <c r="R94" s="184"/>
    </row>
    <row r="95" spans="1:18" s="54" customFormat="1" ht="10.199999999999999" x14ac:dyDescent="0.2">
      <c r="A95" s="143"/>
      <c r="C95" s="222" t="s">
        <v>177</v>
      </c>
      <c r="D95" s="223"/>
      <c r="E95" s="222" t="s">
        <v>177</v>
      </c>
      <c r="F95" s="223"/>
      <c r="G95" s="221" t="s">
        <v>177</v>
      </c>
      <c r="H95" s="170"/>
      <c r="I95" s="146" t="str">
        <f ca="1">IFERROR(INDEX(Events!$A:$A,MATCH(I93,Events!$H:$H,0)),"")</f>
        <v/>
      </c>
      <c r="J95" s="147"/>
      <c r="K95" s="146" t="str">
        <f ca="1">IFERROR(INDEX(Events!$A:$A,MATCH(K93,Events!$H:$H,0)),"")</f>
        <v/>
      </c>
      <c r="L95" s="147"/>
      <c r="M95" s="146" t="str">
        <f ca="1">IFERROR(INDEX(Events!$A:$A,MATCH(M93,Events!$H:$H,0)),"")</f>
        <v/>
      </c>
      <c r="N95" s="147"/>
      <c r="O95" s="146" t="str">
        <f ca="1">IFERROR(INDEX(Events!$A:$A,MATCH(O93,Events!$H:$H,0)),"")</f>
        <v/>
      </c>
      <c r="P95" s="147"/>
      <c r="R95" s="184"/>
    </row>
    <row r="96" spans="1:18" s="54" customFormat="1" ht="10.199999999999999" x14ac:dyDescent="0.2">
      <c r="A96" s="143"/>
      <c r="C96" s="209" t="s">
        <v>121</v>
      </c>
      <c r="D96" s="173"/>
      <c r="E96" s="209" t="s">
        <v>121</v>
      </c>
      <c r="F96" s="173"/>
      <c r="G96" s="151"/>
      <c r="H96" s="152"/>
      <c r="I96" s="146" t="str">
        <f ca="1">IFERROR(INDEX(Events!$A:$A,MATCH(I93,Events!$I:$I,0)),"")</f>
        <v/>
      </c>
      <c r="J96" s="147"/>
      <c r="K96" s="146" t="str">
        <f ca="1">IFERROR(INDEX(Events!$A:$A,MATCH(K93,Events!$I:$I,0)),"")</f>
        <v/>
      </c>
      <c r="L96" s="147"/>
      <c r="M96" s="146" t="str">
        <f ca="1">IFERROR(INDEX(Events!$A:$A,MATCH(M93,Events!$I:$I,0)),"")</f>
        <v/>
      </c>
      <c r="N96" s="147"/>
      <c r="O96" s="146" t="str">
        <f ca="1">IFERROR(INDEX(Events!$A:$A,MATCH(O93,Events!$I:$I,0)),"")</f>
        <v/>
      </c>
      <c r="P96" s="147"/>
      <c r="R96" s="184"/>
    </row>
    <row r="97" spans="1:18" s="54" customFormat="1" ht="10.199999999999999" x14ac:dyDescent="0.2">
      <c r="A97" s="143"/>
      <c r="C97" s="211" t="s">
        <v>120</v>
      </c>
      <c r="D97" s="177"/>
      <c r="E97" s="211" t="s">
        <v>120</v>
      </c>
      <c r="F97" s="177"/>
      <c r="G97" s="214" t="s">
        <v>123</v>
      </c>
      <c r="H97" s="215"/>
      <c r="I97" s="180" t="str">
        <f ca="1">IFERROR(INDEX(Events!$A:$A,MATCH(I93,Events!$J:$J,0)),"")</f>
        <v/>
      </c>
      <c r="J97" s="181"/>
      <c r="K97" s="180" t="str">
        <f ca="1">IFERROR(INDEX(Events!$A:$A,MATCH(K93,Events!$J:$J,0)),"")</f>
        <v/>
      </c>
      <c r="L97" s="181"/>
      <c r="M97" s="180" t="str">
        <f ca="1">IFERROR(INDEX(Events!$A:$A,MATCH(M93,Events!$J:$J,0)),"")</f>
        <v/>
      </c>
      <c r="N97" s="181"/>
      <c r="O97" s="180" t="str">
        <f ca="1">IFERROR(INDEX(Events!$A:$A,MATCH(O93,Events!$J:$J,0)),"")</f>
        <v/>
      </c>
      <c r="P97" s="181"/>
      <c r="R97" s="184"/>
    </row>
    <row r="98" spans="1:18" hidden="1" x14ac:dyDescent="0.25">
      <c r="A98" s="143"/>
      <c r="C98" s="50">
        <f>IF(O93="","",IF(MONTH(O93+1)&lt;&gt;MONTH(O93),"",O93+1))</f>
        <v>45844</v>
      </c>
      <c r="D98" s="52" t="str">
        <f>IFERROR(INDEX(Events!$A:$A,MATCH(C98,Events!$G:$G,0)),"")</f>
        <v/>
      </c>
      <c r="E98" s="50">
        <f>IF(C98="","",IF(MONTH(C98+1)&lt;&gt;MONTH(C98),"",C98+1))</f>
        <v>45845</v>
      </c>
      <c r="F98" s="52" t="str">
        <f>IFERROR(INDEX(Events!$A:$A,MATCH(E98,Events!$G:$G,0)),"")</f>
        <v/>
      </c>
      <c r="G98" s="51"/>
      <c r="H98" s="5"/>
      <c r="I98" s="5"/>
      <c r="J98" s="5"/>
      <c r="K98" s="5"/>
      <c r="L98" s="5"/>
      <c r="R98" s="184" t="s">
        <v>140</v>
      </c>
    </row>
    <row r="99" spans="1:18" s="54" customFormat="1" ht="10.199999999999999" hidden="1" x14ac:dyDescent="0.2">
      <c r="A99" s="143"/>
      <c r="C99" s="146" t="str">
        <f ca="1">IFERROR(INDEX(Events!$A:$A,MATCH(C98,Events!$H:$H,0)),"")</f>
        <v/>
      </c>
      <c r="D99" s="147"/>
      <c r="E99" s="146" t="str">
        <f ca="1">IFERROR(INDEX(Events!$A:$A,MATCH(E98,Events!$H:$H,0)),"")</f>
        <v/>
      </c>
      <c r="F99" s="147"/>
      <c r="G99" s="59"/>
      <c r="H99" s="3"/>
      <c r="I99" s="3"/>
      <c r="J99" s="3"/>
      <c r="K99" s="3"/>
      <c r="L99" s="3"/>
      <c r="R99" s="184"/>
    </row>
    <row r="100" spans="1:18" s="54" customFormat="1" ht="10.199999999999999" hidden="1" x14ac:dyDescent="0.2">
      <c r="A100" s="143"/>
      <c r="C100" s="146" t="str">
        <f ca="1">IFERROR(INDEX(Events!$A:$A,MATCH(C98,Events!$I:$I,0)),"")</f>
        <v/>
      </c>
      <c r="D100" s="147"/>
      <c r="E100" s="146" t="str">
        <f ca="1">IFERROR(INDEX(Events!$A:$A,MATCH(E98,Events!$I:$I,0)),"")</f>
        <v/>
      </c>
      <c r="F100" s="147"/>
      <c r="G100" s="59"/>
      <c r="H100" s="3"/>
      <c r="I100" s="3"/>
      <c r="J100" s="3"/>
      <c r="K100" s="3"/>
      <c r="L100" s="3"/>
      <c r="P100" s="60"/>
      <c r="R100" s="184"/>
    </row>
    <row r="101" spans="1:18" s="54" customFormat="1" ht="10.199999999999999" hidden="1" x14ac:dyDescent="0.2">
      <c r="A101" s="143"/>
      <c r="C101" s="180" t="str">
        <f ca="1">IFERROR(INDEX(Events!$A:$A,MATCH(C98,Events!$J:$J,0)),"")</f>
        <v/>
      </c>
      <c r="D101" s="181"/>
      <c r="E101" s="180" t="str">
        <f ca="1">IFERROR(INDEX(Events!$A:$A,MATCH(E98,Events!$J:$J,0)),"")</f>
        <v/>
      </c>
      <c r="F101" s="181"/>
      <c r="G101" s="59"/>
      <c r="H101" s="3"/>
      <c r="I101" s="3"/>
      <c r="J101" s="3"/>
      <c r="K101" s="3"/>
      <c r="L101" s="3"/>
      <c r="P101" s="60"/>
      <c r="R101" s="184"/>
    </row>
  </sheetData>
  <mergeCells count="471">
    <mergeCell ref="R61:R65"/>
    <mergeCell ref="R73:R77"/>
    <mergeCell ref="R78:R82"/>
    <mergeCell ref="R83:R87"/>
    <mergeCell ref="R88:R92"/>
    <mergeCell ref="R93:R97"/>
    <mergeCell ref="R98:R101"/>
    <mergeCell ref="R9:R13"/>
    <mergeCell ref="R14:R18"/>
    <mergeCell ref="R19:R23"/>
    <mergeCell ref="R24:R28"/>
    <mergeCell ref="R29:R33"/>
    <mergeCell ref="R41:R45"/>
    <mergeCell ref="R46:R50"/>
    <mergeCell ref="R51:R55"/>
    <mergeCell ref="R56:R60"/>
    <mergeCell ref="I5:P6"/>
    <mergeCell ref="C8:D8"/>
    <mergeCell ref="E8:F8"/>
    <mergeCell ref="G8:H8"/>
    <mergeCell ref="I8:J8"/>
    <mergeCell ref="K8:L8"/>
    <mergeCell ref="M8:N8"/>
    <mergeCell ref="O8:P8"/>
    <mergeCell ref="O10:P10"/>
    <mergeCell ref="G12:H12"/>
    <mergeCell ref="I12:J12"/>
    <mergeCell ref="K12:L12"/>
    <mergeCell ref="M12:N12"/>
    <mergeCell ref="O12:P12"/>
    <mergeCell ref="C10:D10"/>
    <mergeCell ref="E10:F10"/>
    <mergeCell ref="G10:H10"/>
    <mergeCell ref="I10:J10"/>
    <mergeCell ref="K10:L10"/>
    <mergeCell ref="M10:N10"/>
    <mergeCell ref="G11:H11"/>
    <mergeCell ref="I11:J11"/>
    <mergeCell ref="K11:L11"/>
    <mergeCell ref="M11:N11"/>
    <mergeCell ref="O11:P11"/>
    <mergeCell ref="O13:P13"/>
    <mergeCell ref="C15:D15"/>
    <mergeCell ref="E15:F15"/>
    <mergeCell ref="G15:H15"/>
    <mergeCell ref="I15:J15"/>
    <mergeCell ref="K15:L15"/>
    <mergeCell ref="M15:N15"/>
    <mergeCell ref="O15:P15"/>
    <mergeCell ref="C13:D13"/>
    <mergeCell ref="E13:F13"/>
    <mergeCell ref="G13:H13"/>
    <mergeCell ref="I13:J13"/>
    <mergeCell ref="K13:L13"/>
    <mergeCell ref="M13:N13"/>
    <mergeCell ref="O16:P16"/>
    <mergeCell ref="C18:D18"/>
    <mergeCell ref="E18:F18"/>
    <mergeCell ref="G18:H18"/>
    <mergeCell ref="I18:J18"/>
    <mergeCell ref="K18:L18"/>
    <mergeCell ref="M18:N18"/>
    <mergeCell ref="O18:P18"/>
    <mergeCell ref="C16:D16"/>
    <mergeCell ref="E16:F16"/>
    <mergeCell ref="G16:H16"/>
    <mergeCell ref="I16:J16"/>
    <mergeCell ref="K16:L16"/>
    <mergeCell ref="M16:N16"/>
    <mergeCell ref="I17:J17"/>
    <mergeCell ref="K17:L17"/>
    <mergeCell ref="M17:N17"/>
    <mergeCell ref="O17:P17"/>
    <mergeCell ref="E17:F17"/>
    <mergeCell ref="G17:H17"/>
    <mergeCell ref="O21:P21"/>
    <mergeCell ref="C22:D22"/>
    <mergeCell ref="E22:F22"/>
    <mergeCell ref="G22:H22"/>
    <mergeCell ref="I22:J22"/>
    <mergeCell ref="K22:L22"/>
    <mergeCell ref="M22:N22"/>
    <mergeCell ref="O22:P22"/>
    <mergeCell ref="C21:D21"/>
    <mergeCell ref="E21:F21"/>
    <mergeCell ref="G21:H21"/>
    <mergeCell ref="I21:J21"/>
    <mergeCell ref="K21:L21"/>
    <mergeCell ref="M21:N21"/>
    <mergeCell ref="O23:P23"/>
    <mergeCell ref="C25:D25"/>
    <mergeCell ref="E25:F25"/>
    <mergeCell ref="G25:H25"/>
    <mergeCell ref="I25:J25"/>
    <mergeCell ref="K25:L25"/>
    <mergeCell ref="M25:N25"/>
    <mergeCell ref="O25:P25"/>
    <mergeCell ref="C23:D23"/>
    <mergeCell ref="E23:F23"/>
    <mergeCell ref="G23:H23"/>
    <mergeCell ref="I23:J23"/>
    <mergeCell ref="K23:L23"/>
    <mergeCell ref="M23:N23"/>
    <mergeCell ref="O27:P27"/>
    <mergeCell ref="C28:D28"/>
    <mergeCell ref="E28:F28"/>
    <mergeCell ref="G28:H28"/>
    <mergeCell ref="I28:J28"/>
    <mergeCell ref="K28:L28"/>
    <mergeCell ref="M28:N28"/>
    <mergeCell ref="O28:P28"/>
    <mergeCell ref="C27:D27"/>
    <mergeCell ref="E27:F27"/>
    <mergeCell ref="G27:H27"/>
    <mergeCell ref="I27:J27"/>
    <mergeCell ref="K27:L27"/>
    <mergeCell ref="M27:N27"/>
    <mergeCell ref="O31:P31"/>
    <mergeCell ref="C32:D32"/>
    <mergeCell ref="E32:F32"/>
    <mergeCell ref="G32:H32"/>
    <mergeCell ref="I32:J32"/>
    <mergeCell ref="K32:L32"/>
    <mergeCell ref="M32:N32"/>
    <mergeCell ref="O32:P32"/>
    <mergeCell ref="C31:D31"/>
    <mergeCell ref="E31:F31"/>
    <mergeCell ref="G31:H31"/>
    <mergeCell ref="I31:J31"/>
    <mergeCell ref="K31:L31"/>
    <mergeCell ref="M31:N31"/>
    <mergeCell ref="O33:P33"/>
    <mergeCell ref="C35:D35"/>
    <mergeCell ref="E35:F35"/>
    <mergeCell ref="C36:D36"/>
    <mergeCell ref="E36:F36"/>
    <mergeCell ref="I36:P38"/>
    <mergeCell ref="C37:D37"/>
    <mergeCell ref="E37:F37"/>
    <mergeCell ref="C33:D33"/>
    <mergeCell ref="E33:F33"/>
    <mergeCell ref="G33:H33"/>
    <mergeCell ref="I33:J33"/>
    <mergeCell ref="K33:L33"/>
    <mergeCell ref="M33:N33"/>
    <mergeCell ref="O40:P40"/>
    <mergeCell ref="C42:D42"/>
    <mergeCell ref="E42:F42"/>
    <mergeCell ref="G42:H42"/>
    <mergeCell ref="I42:J42"/>
    <mergeCell ref="K42:L42"/>
    <mergeCell ref="M42:N42"/>
    <mergeCell ref="O42:P42"/>
    <mergeCell ref="C40:D40"/>
    <mergeCell ref="E40:F40"/>
    <mergeCell ref="G40:H40"/>
    <mergeCell ref="I40:J40"/>
    <mergeCell ref="K40:L40"/>
    <mergeCell ref="M40:N40"/>
    <mergeCell ref="O43:P43"/>
    <mergeCell ref="C45:D45"/>
    <mergeCell ref="E45:F45"/>
    <mergeCell ref="G45:H45"/>
    <mergeCell ref="I45:J45"/>
    <mergeCell ref="K45:L45"/>
    <mergeCell ref="M45:N45"/>
    <mergeCell ref="O45:P45"/>
    <mergeCell ref="C43:D43"/>
    <mergeCell ref="E43:F43"/>
    <mergeCell ref="G43:H43"/>
    <mergeCell ref="I43:J43"/>
    <mergeCell ref="K43:L43"/>
    <mergeCell ref="M43:N43"/>
    <mergeCell ref="O47:P47"/>
    <mergeCell ref="C48:D48"/>
    <mergeCell ref="E48:F48"/>
    <mergeCell ref="G48:H48"/>
    <mergeCell ref="I48:J48"/>
    <mergeCell ref="K48:L48"/>
    <mergeCell ref="M48:N48"/>
    <mergeCell ref="O48:P48"/>
    <mergeCell ref="C47:D47"/>
    <mergeCell ref="E47:F47"/>
    <mergeCell ref="G47:H47"/>
    <mergeCell ref="I47:J47"/>
    <mergeCell ref="K47:L47"/>
    <mergeCell ref="M47:N47"/>
    <mergeCell ref="O50:P50"/>
    <mergeCell ref="C52:D52"/>
    <mergeCell ref="E52:F52"/>
    <mergeCell ref="G52:H52"/>
    <mergeCell ref="I52:J52"/>
    <mergeCell ref="K52:L52"/>
    <mergeCell ref="M52:N52"/>
    <mergeCell ref="O52:P52"/>
    <mergeCell ref="C50:D50"/>
    <mergeCell ref="E50:F50"/>
    <mergeCell ref="G50:H50"/>
    <mergeCell ref="I50:J50"/>
    <mergeCell ref="K50:L50"/>
    <mergeCell ref="M50:N50"/>
    <mergeCell ref="O54:P54"/>
    <mergeCell ref="C55:D55"/>
    <mergeCell ref="E55:F55"/>
    <mergeCell ref="G55:H55"/>
    <mergeCell ref="I55:J55"/>
    <mergeCell ref="K55:L55"/>
    <mergeCell ref="M55:N55"/>
    <mergeCell ref="O55:P55"/>
    <mergeCell ref="C54:D54"/>
    <mergeCell ref="E54:F54"/>
    <mergeCell ref="G54:H54"/>
    <mergeCell ref="I54:J54"/>
    <mergeCell ref="K54:L54"/>
    <mergeCell ref="M54:N54"/>
    <mergeCell ref="I60:J60"/>
    <mergeCell ref="K60:L60"/>
    <mergeCell ref="M60:N60"/>
    <mergeCell ref="O57:P57"/>
    <mergeCell ref="C59:D59"/>
    <mergeCell ref="E59:F59"/>
    <mergeCell ref="G59:H59"/>
    <mergeCell ref="I59:J59"/>
    <mergeCell ref="K59:L59"/>
    <mergeCell ref="M59:N59"/>
    <mergeCell ref="O59:P59"/>
    <mergeCell ref="C57:D57"/>
    <mergeCell ref="E57:F57"/>
    <mergeCell ref="G57:H57"/>
    <mergeCell ref="I57:J57"/>
    <mergeCell ref="K57:L57"/>
    <mergeCell ref="M57:N57"/>
    <mergeCell ref="C58:D58"/>
    <mergeCell ref="I68:P70"/>
    <mergeCell ref="C69:D69"/>
    <mergeCell ref="E69:F69"/>
    <mergeCell ref="O64:P64"/>
    <mergeCell ref="C65:D65"/>
    <mergeCell ref="E65:F65"/>
    <mergeCell ref="G65:H65"/>
    <mergeCell ref="I65:J65"/>
    <mergeCell ref="K65:L65"/>
    <mergeCell ref="M65:N65"/>
    <mergeCell ref="O65:P65"/>
    <mergeCell ref="C64:D64"/>
    <mergeCell ref="E64:F64"/>
    <mergeCell ref="G64:H64"/>
    <mergeCell ref="I64:J64"/>
    <mergeCell ref="K64:L64"/>
    <mergeCell ref="M64:N64"/>
    <mergeCell ref="O72:P72"/>
    <mergeCell ref="C74:D74"/>
    <mergeCell ref="E74:F74"/>
    <mergeCell ref="G74:H74"/>
    <mergeCell ref="I74:J74"/>
    <mergeCell ref="K74:L74"/>
    <mergeCell ref="M74:N74"/>
    <mergeCell ref="O74:P74"/>
    <mergeCell ref="C72:D72"/>
    <mergeCell ref="E72:F72"/>
    <mergeCell ref="G72:H72"/>
    <mergeCell ref="I72:J72"/>
    <mergeCell ref="K72:L72"/>
    <mergeCell ref="M72:N72"/>
    <mergeCell ref="C77:D77"/>
    <mergeCell ref="E77:F77"/>
    <mergeCell ref="G77:H77"/>
    <mergeCell ref="I77:J77"/>
    <mergeCell ref="K77:L77"/>
    <mergeCell ref="M77:N77"/>
    <mergeCell ref="O77:P77"/>
    <mergeCell ref="C76:D76"/>
    <mergeCell ref="E76:F76"/>
    <mergeCell ref="G76:H76"/>
    <mergeCell ref="I76:J76"/>
    <mergeCell ref="K76:L76"/>
    <mergeCell ref="M76:N76"/>
    <mergeCell ref="C81:D81"/>
    <mergeCell ref="E81:F81"/>
    <mergeCell ref="G81:H81"/>
    <mergeCell ref="I81:J81"/>
    <mergeCell ref="K81:L81"/>
    <mergeCell ref="M81:N81"/>
    <mergeCell ref="O81:P81"/>
    <mergeCell ref="C79:D79"/>
    <mergeCell ref="E79:F79"/>
    <mergeCell ref="I79:J79"/>
    <mergeCell ref="K79:L79"/>
    <mergeCell ref="C80:D80"/>
    <mergeCell ref="C84:D84"/>
    <mergeCell ref="E84:F84"/>
    <mergeCell ref="G84:H84"/>
    <mergeCell ref="I84:J84"/>
    <mergeCell ref="K84:L84"/>
    <mergeCell ref="M84:N84"/>
    <mergeCell ref="O84:P84"/>
    <mergeCell ref="C82:D82"/>
    <mergeCell ref="E82:F82"/>
    <mergeCell ref="G82:H82"/>
    <mergeCell ref="I82:J82"/>
    <mergeCell ref="K82:L82"/>
    <mergeCell ref="M82:N82"/>
    <mergeCell ref="O86:P86"/>
    <mergeCell ref="C87:D87"/>
    <mergeCell ref="E87:F87"/>
    <mergeCell ref="G87:H87"/>
    <mergeCell ref="I87:J87"/>
    <mergeCell ref="K87:L87"/>
    <mergeCell ref="M87:N87"/>
    <mergeCell ref="O87:P87"/>
    <mergeCell ref="C86:D86"/>
    <mergeCell ref="E86:F86"/>
    <mergeCell ref="G86:H86"/>
    <mergeCell ref="I86:J86"/>
    <mergeCell ref="K86:L86"/>
    <mergeCell ref="M86:N86"/>
    <mergeCell ref="C91:D91"/>
    <mergeCell ref="E91:F91"/>
    <mergeCell ref="G91:H91"/>
    <mergeCell ref="I91:J91"/>
    <mergeCell ref="K91:L91"/>
    <mergeCell ref="M91:N91"/>
    <mergeCell ref="O91:P91"/>
    <mergeCell ref="C90:D90"/>
    <mergeCell ref="E90:F90"/>
    <mergeCell ref="G90:H90"/>
    <mergeCell ref="I90:J90"/>
    <mergeCell ref="K90:L90"/>
    <mergeCell ref="M90:N90"/>
    <mergeCell ref="E95:F95"/>
    <mergeCell ref="G95:H95"/>
    <mergeCell ref="I95:J95"/>
    <mergeCell ref="K95:L95"/>
    <mergeCell ref="M95:N95"/>
    <mergeCell ref="O95:P95"/>
    <mergeCell ref="C92:D92"/>
    <mergeCell ref="E92:F92"/>
    <mergeCell ref="G92:H92"/>
    <mergeCell ref="I92:J92"/>
    <mergeCell ref="K92:L92"/>
    <mergeCell ref="M92:N92"/>
    <mergeCell ref="O96:P96"/>
    <mergeCell ref="C97:D97"/>
    <mergeCell ref="E97:F97"/>
    <mergeCell ref="G97:H97"/>
    <mergeCell ref="I97:J97"/>
    <mergeCell ref="K97:L97"/>
    <mergeCell ref="M97:N97"/>
    <mergeCell ref="O97:P97"/>
    <mergeCell ref="C96:D96"/>
    <mergeCell ref="E96:F96"/>
    <mergeCell ref="G96:H96"/>
    <mergeCell ref="I96:J96"/>
    <mergeCell ref="K96:L96"/>
    <mergeCell ref="M96:N96"/>
    <mergeCell ref="A8:A33"/>
    <mergeCell ref="A40:A65"/>
    <mergeCell ref="A72:A97"/>
    <mergeCell ref="A98:A101"/>
    <mergeCell ref="C99:D99"/>
    <mergeCell ref="E99:F99"/>
    <mergeCell ref="C100:D100"/>
    <mergeCell ref="E100:F100"/>
    <mergeCell ref="C101:D101"/>
    <mergeCell ref="E101:F101"/>
    <mergeCell ref="C67:D67"/>
    <mergeCell ref="E67:F67"/>
    <mergeCell ref="C68:D68"/>
    <mergeCell ref="E68:F68"/>
    <mergeCell ref="C12:D12"/>
    <mergeCell ref="E12:F12"/>
    <mergeCell ref="E75:F75"/>
    <mergeCell ref="C75:D75"/>
    <mergeCell ref="C85:D85"/>
    <mergeCell ref="C89:D89"/>
    <mergeCell ref="C94:D94"/>
    <mergeCell ref="E89:F89"/>
    <mergeCell ref="C17:D17"/>
    <mergeCell ref="C95:D95"/>
    <mergeCell ref="G75:H75"/>
    <mergeCell ref="I75:J75"/>
    <mergeCell ref="K75:L75"/>
    <mergeCell ref="M75:N75"/>
    <mergeCell ref="O75:P75"/>
    <mergeCell ref="E85:F85"/>
    <mergeCell ref="G85:H85"/>
    <mergeCell ref="I85:J85"/>
    <mergeCell ref="K85:L85"/>
    <mergeCell ref="M85:N85"/>
    <mergeCell ref="O85:P85"/>
    <mergeCell ref="E80:F80"/>
    <mergeCell ref="G80:H80"/>
    <mergeCell ref="I80:J80"/>
    <mergeCell ref="K80:L80"/>
    <mergeCell ref="M80:N80"/>
    <mergeCell ref="O80:P80"/>
    <mergeCell ref="O82:P82"/>
    <mergeCell ref="O79:P79"/>
    <mergeCell ref="O76:P76"/>
    <mergeCell ref="G89:H89"/>
    <mergeCell ref="I89:J89"/>
    <mergeCell ref="K89:L89"/>
    <mergeCell ref="M89:N89"/>
    <mergeCell ref="O89:P89"/>
    <mergeCell ref="E94:F94"/>
    <mergeCell ref="G94:H94"/>
    <mergeCell ref="I94:J94"/>
    <mergeCell ref="K94:L94"/>
    <mergeCell ref="M94:N94"/>
    <mergeCell ref="O94:P94"/>
    <mergeCell ref="O92:P92"/>
    <mergeCell ref="O90:P90"/>
    <mergeCell ref="E30:F30"/>
    <mergeCell ref="G30:H30"/>
    <mergeCell ref="I30:J30"/>
    <mergeCell ref="E26:F26"/>
    <mergeCell ref="C26:D26"/>
    <mergeCell ref="C20:D20"/>
    <mergeCell ref="C30:D30"/>
    <mergeCell ref="C49:D49"/>
    <mergeCell ref="C53:D53"/>
    <mergeCell ref="G53:H53"/>
    <mergeCell ref="E49:F49"/>
    <mergeCell ref="C63:D63"/>
    <mergeCell ref="E58:F58"/>
    <mergeCell ref="E63:F63"/>
    <mergeCell ref="G58:H58"/>
    <mergeCell ref="I58:J58"/>
    <mergeCell ref="K58:L58"/>
    <mergeCell ref="M58:N58"/>
    <mergeCell ref="O58:P58"/>
    <mergeCell ref="G63:H63"/>
    <mergeCell ref="I63:J63"/>
    <mergeCell ref="K63:L63"/>
    <mergeCell ref="M63:N63"/>
    <mergeCell ref="O63:P63"/>
    <mergeCell ref="O60:P60"/>
    <mergeCell ref="C62:D62"/>
    <mergeCell ref="E62:F62"/>
    <mergeCell ref="G62:H62"/>
    <mergeCell ref="I62:J62"/>
    <mergeCell ref="K62:L62"/>
    <mergeCell ref="M62:N62"/>
    <mergeCell ref="O62:P62"/>
    <mergeCell ref="C60:D60"/>
    <mergeCell ref="E60:F60"/>
    <mergeCell ref="G60:H60"/>
    <mergeCell ref="K53:L53"/>
    <mergeCell ref="M53:N53"/>
    <mergeCell ref="O53:P53"/>
    <mergeCell ref="O49:P49"/>
    <mergeCell ref="M49:N49"/>
    <mergeCell ref="K49:L49"/>
    <mergeCell ref="I49:J49"/>
    <mergeCell ref="G49:H49"/>
    <mergeCell ref="E20:F20"/>
    <mergeCell ref="G20:H20"/>
    <mergeCell ref="I20:J20"/>
    <mergeCell ref="K20:L20"/>
    <mergeCell ref="M20:N20"/>
    <mergeCell ref="O20:P20"/>
    <mergeCell ref="G26:H26"/>
    <mergeCell ref="K26:L26"/>
    <mergeCell ref="M26:N26"/>
    <mergeCell ref="O26:P26"/>
    <mergeCell ref="I26:J26"/>
    <mergeCell ref="E53:F53"/>
    <mergeCell ref="I53:J53"/>
    <mergeCell ref="O44:P44"/>
    <mergeCell ref="M44:N44"/>
    <mergeCell ref="K44:L44"/>
  </mergeCells>
  <conditionalFormatting sqref="C9 E9 I9 K9 M9 O9 C14 E14 G14 I14 K14 M14 O14 C19 E19 G19 I19 K19 M19 O19 C24 E24 G24 I24 K24 M24 O24 C29 E29 G29 I29 K29:K30 M29:M30 O29:O30 C34 E34">
    <cfRule type="expression" dxfId="386" priority="253">
      <formula>C9=""</formula>
    </cfRule>
  </conditionalFormatting>
  <conditionalFormatting sqref="C15 E15">
    <cfRule type="expression" dxfId="385" priority="26">
      <formula>C14=""</formula>
    </cfRule>
  </conditionalFormatting>
  <conditionalFormatting sqref="C21 E21 G21 I21 K21 M21">
    <cfRule type="expression" dxfId="384" priority="22">
      <formula>C20=""</formula>
    </cfRule>
  </conditionalFormatting>
  <conditionalFormatting sqref="C26 E26 G26 I26 K26 M26">
    <cfRule type="expression" dxfId="383" priority="21">
      <formula>C25=""</formula>
    </cfRule>
  </conditionalFormatting>
  <conditionalFormatting sqref="C31 E31 G31 I31">
    <cfRule type="expression" dxfId="382" priority="20">
      <formula>C30=""</formula>
    </cfRule>
  </conditionalFormatting>
  <conditionalFormatting sqref="C41 E41 G41 I41 O41 C46 E46 G46 I46 K46 M46 O46 C51 E51 G51 I51 K51 M51 O51 C56 E56 G56 I56 K56 M56 O56 C61 E61 G61 I61 K61 M61 O61 C66 E66">
    <cfRule type="expression" dxfId="381" priority="248">
      <formula>C41=""</formula>
    </cfRule>
  </conditionalFormatting>
  <conditionalFormatting sqref="C49 E49 G49 I49 K49 M49">
    <cfRule type="expression" dxfId="380" priority="19">
      <formula>C48=""</formula>
    </cfRule>
  </conditionalFormatting>
  <conditionalFormatting sqref="C53 E53 G53 I53 K53 M53">
    <cfRule type="expression" dxfId="379" priority="18">
      <formula>C52=""</formula>
    </cfRule>
  </conditionalFormatting>
  <conditionalFormatting sqref="C58 E58 G58 I58 K58 M58">
    <cfRule type="expression" dxfId="378" priority="17">
      <formula>C57=""</formula>
    </cfRule>
  </conditionalFormatting>
  <conditionalFormatting sqref="C63 E63 G63 I63 K63 M63">
    <cfRule type="expression" dxfId="377" priority="10">
      <formula>C62=""</formula>
    </cfRule>
  </conditionalFormatting>
  <conditionalFormatting sqref="C73 G73 I73 K73 M73 O73 C78 E78 G78 I78 K78 M78 O78 C83 E83 G83 I83 K83 M83 O83 C88 E88 G88 I88 K88 M88 O88 C93 E93 I93 K93 M93 O93 C98 E98">
    <cfRule type="expression" dxfId="376" priority="243">
      <formula>C73=""</formula>
    </cfRule>
  </conditionalFormatting>
  <conditionalFormatting sqref="C76">
    <cfRule type="expression" dxfId="375" priority="8">
      <formula>C75=""</formula>
    </cfRule>
  </conditionalFormatting>
  <conditionalFormatting sqref="C80 E80 G80 I80 K80 M80">
    <cfRule type="expression" dxfId="374" priority="7">
      <formula>C79=""</formula>
    </cfRule>
  </conditionalFormatting>
  <conditionalFormatting sqref="C85 E85 G85 I85 K85 M85 O85">
    <cfRule type="expression" dxfId="373" priority="16">
      <formula>C84=""</formula>
    </cfRule>
  </conditionalFormatting>
  <conditionalFormatting sqref="C90 E90 G90 I90 K90 M90 O90">
    <cfRule type="expression" dxfId="372" priority="15">
      <formula>C89=""</formula>
    </cfRule>
  </conditionalFormatting>
  <conditionalFormatting sqref="C95">
    <cfRule type="expression" dxfId="371" priority="14">
      <formula>C94=""</formula>
    </cfRule>
  </conditionalFormatting>
  <conditionalFormatting sqref="C30:D30">
    <cfRule type="expression" dxfId="370" priority="118">
      <formula>C29=""</formula>
    </cfRule>
  </conditionalFormatting>
  <conditionalFormatting sqref="C75:D75">
    <cfRule type="expression" dxfId="369" priority="141">
      <formula>C73=""</formula>
    </cfRule>
  </conditionalFormatting>
  <conditionalFormatting sqref="C89:D89">
    <cfRule type="expression" dxfId="368" priority="137">
      <formula>C88=""</formula>
    </cfRule>
  </conditionalFormatting>
  <conditionalFormatting sqref="C94:D94">
    <cfRule type="expression" dxfId="367" priority="134">
      <formula>C93=""</formula>
    </cfRule>
  </conditionalFormatting>
  <conditionalFormatting sqref="C16:F16">
    <cfRule type="expression" dxfId="366" priority="131">
      <formula>C14=""</formula>
    </cfRule>
  </conditionalFormatting>
  <conditionalFormatting sqref="C17:F17">
    <cfRule type="expression" dxfId="365" priority="130">
      <formula>C14=""</formula>
    </cfRule>
  </conditionalFormatting>
  <conditionalFormatting sqref="C35:F35">
    <cfRule type="expression" dxfId="364" priority="251">
      <formula>C34=""</formula>
    </cfRule>
  </conditionalFormatting>
  <conditionalFormatting sqref="C37:F37">
    <cfRule type="expression" dxfId="363" priority="249">
      <formula>C34=""</formula>
    </cfRule>
  </conditionalFormatting>
  <conditionalFormatting sqref="C67:F67">
    <cfRule type="expression" dxfId="362" priority="246">
      <formula>C66=""</formula>
    </cfRule>
  </conditionalFormatting>
  <conditionalFormatting sqref="C68:F68">
    <cfRule type="expression" dxfId="361" priority="245">
      <formula>C66=""</formula>
    </cfRule>
  </conditionalFormatting>
  <conditionalFormatting sqref="C69:F69">
    <cfRule type="expression" dxfId="360" priority="244">
      <formula>C66=""</formula>
    </cfRule>
  </conditionalFormatting>
  <conditionalFormatting sqref="C99:F99">
    <cfRule type="expression" dxfId="359" priority="241">
      <formula>C98=""</formula>
    </cfRule>
  </conditionalFormatting>
  <conditionalFormatting sqref="C100:F100">
    <cfRule type="expression" dxfId="358" priority="240">
      <formula>C98=""</formula>
    </cfRule>
  </conditionalFormatting>
  <conditionalFormatting sqref="C101:F101">
    <cfRule type="expression" dxfId="357" priority="239">
      <formula>C98=""</formula>
    </cfRule>
  </conditionalFormatting>
  <conditionalFormatting sqref="C47:L47">
    <cfRule type="expression" dxfId="356" priority="60">
      <formula>C46=""</formula>
    </cfRule>
  </conditionalFormatting>
  <conditionalFormatting sqref="C48:L48">
    <cfRule type="expression" dxfId="355" priority="58">
      <formula>C46=""</formula>
    </cfRule>
  </conditionalFormatting>
  <conditionalFormatting sqref="C13:P13">
    <cfRule type="expression" dxfId="354" priority="230">
      <formula>C9=""</formula>
    </cfRule>
  </conditionalFormatting>
  <conditionalFormatting sqref="C18:P18">
    <cfRule type="expression" dxfId="353" priority="198">
      <formula>C14=""</formula>
    </cfRule>
  </conditionalFormatting>
  <conditionalFormatting sqref="C20:P20">
    <cfRule type="expression" dxfId="352" priority="41">
      <formula>C19=""</formula>
    </cfRule>
  </conditionalFormatting>
  <conditionalFormatting sqref="C22:P22">
    <cfRule type="expression" dxfId="351" priority="124">
      <formula>C19=""</formula>
    </cfRule>
  </conditionalFormatting>
  <conditionalFormatting sqref="C23:P23">
    <cfRule type="expression" dxfId="350" priority="127">
      <formula>C19=""</formula>
    </cfRule>
  </conditionalFormatting>
  <conditionalFormatting sqref="C25:P25">
    <cfRule type="expression" dxfId="349" priority="31">
      <formula>C24=""</formula>
    </cfRule>
  </conditionalFormatting>
  <conditionalFormatting sqref="C27:P27">
    <cfRule type="expression" dxfId="348" priority="120">
      <formula>C24=""</formula>
    </cfRule>
  </conditionalFormatting>
  <conditionalFormatting sqref="C28:P28">
    <cfRule type="expression" dxfId="347" priority="123">
      <formula>C24=""</formula>
    </cfRule>
  </conditionalFormatting>
  <conditionalFormatting sqref="C32:P32">
    <cfRule type="expression" dxfId="346" priority="116">
      <formula>C29=""</formula>
    </cfRule>
  </conditionalFormatting>
  <conditionalFormatting sqref="C33:P33">
    <cfRule type="expression" dxfId="345" priority="119">
      <formula>C29=""</formula>
    </cfRule>
  </conditionalFormatting>
  <conditionalFormatting sqref="C42:P42">
    <cfRule type="expression" dxfId="344" priority="186">
      <formula>C41=""</formula>
    </cfRule>
  </conditionalFormatting>
  <conditionalFormatting sqref="C43:P43 C44:L44">
    <cfRule type="expression" dxfId="343" priority="144">
      <formula>C41=""</formula>
    </cfRule>
  </conditionalFormatting>
  <conditionalFormatting sqref="C45:P45">
    <cfRule type="expression" dxfId="342" priority="188">
      <formula>C41=""</formula>
    </cfRule>
  </conditionalFormatting>
  <conditionalFormatting sqref="C50:P50">
    <cfRule type="expression" dxfId="341" priority="113">
      <formula>C46=""</formula>
    </cfRule>
  </conditionalFormatting>
  <conditionalFormatting sqref="C52:P52">
    <cfRule type="expression" dxfId="340" priority="79">
      <formula>C51=""</formula>
    </cfRule>
  </conditionalFormatting>
  <conditionalFormatting sqref="C54:P54">
    <cfRule type="expression" dxfId="339" priority="107">
      <formula>C51=""</formula>
    </cfRule>
  </conditionalFormatting>
  <conditionalFormatting sqref="C55:P55">
    <cfRule type="expression" dxfId="338" priority="109">
      <formula>C51=""</formula>
    </cfRule>
  </conditionalFormatting>
  <conditionalFormatting sqref="C57:P57">
    <cfRule type="expression" dxfId="337" priority="104">
      <formula>C56=""</formula>
    </cfRule>
  </conditionalFormatting>
  <conditionalFormatting sqref="C59:P59">
    <cfRule type="expression" dxfId="336" priority="103">
      <formula>C56=""</formula>
    </cfRule>
  </conditionalFormatting>
  <conditionalFormatting sqref="C60:P60">
    <cfRule type="expression" dxfId="335" priority="105">
      <formula>C56=""</formula>
    </cfRule>
  </conditionalFormatting>
  <conditionalFormatting sqref="C62:P62">
    <cfRule type="expression" dxfId="334" priority="87">
      <formula>C61=""</formula>
    </cfRule>
  </conditionalFormatting>
  <conditionalFormatting sqref="C64:P64">
    <cfRule type="expression" dxfId="333" priority="99">
      <formula>C61=""</formula>
    </cfRule>
  </conditionalFormatting>
  <conditionalFormatting sqref="C65:P65">
    <cfRule type="expression" dxfId="332" priority="101">
      <formula>C61=""</formula>
    </cfRule>
  </conditionalFormatting>
  <conditionalFormatting sqref="C74:P74">
    <cfRule type="expression" dxfId="331" priority="143">
      <formula>C73=""</formula>
    </cfRule>
  </conditionalFormatting>
  <conditionalFormatting sqref="C77:P77">
    <cfRule type="expression" dxfId="330" priority="175">
      <formula>C73=""</formula>
    </cfRule>
  </conditionalFormatting>
  <conditionalFormatting sqref="C81:P81">
    <cfRule type="expression" dxfId="329" priority="180">
      <formula>C78=""</formula>
    </cfRule>
  </conditionalFormatting>
  <conditionalFormatting sqref="C82:P82">
    <cfRule type="expression" dxfId="328" priority="181">
      <formula>C78=""</formula>
    </cfRule>
  </conditionalFormatting>
  <conditionalFormatting sqref="C84:P84">
    <cfRule type="expression" dxfId="327" priority="140">
      <formula>C83=""</formula>
    </cfRule>
  </conditionalFormatting>
  <conditionalFormatting sqref="C86:P86">
    <cfRule type="expression" dxfId="326" priority="139">
      <formula>C83=""</formula>
    </cfRule>
  </conditionalFormatting>
  <conditionalFormatting sqref="C87:P87">
    <cfRule type="expression" dxfId="325" priority="200">
      <formula>C83=""</formula>
    </cfRule>
  </conditionalFormatting>
  <conditionalFormatting sqref="C91:P91">
    <cfRule type="expression" dxfId="324" priority="136">
      <formula>C88=""</formula>
    </cfRule>
  </conditionalFormatting>
  <conditionalFormatting sqref="C92:P92">
    <cfRule type="expression" dxfId="323" priority="199">
      <formula>C88=""</formula>
    </cfRule>
  </conditionalFormatting>
  <conditionalFormatting sqref="C96:P96">
    <cfRule type="expression" dxfId="322" priority="150">
      <formula>C93=""</formula>
    </cfRule>
  </conditionalFormatting>
  <conditionalFormatting sqref="C97:P97">
    <cfRule type="expression" dxfId="321" priority="149">
      <formula>C93=""</formula>
    </cfRule>
  </conditionalFormatting>
  <conditionalFormatting sqref="D9 F9 J9 L9 N9 P9 D14 F14 H14 J14 L14 N14 P14 D19 F19 H19 J19 L19 N19 P19 D24 F24 H24 J24 L24 N24 P24 D29 F29 H29 J29 L29:L30 N29:N30 P29:P30 D34 F34">
    <cfRule type="expression" dxfId="320" priority="252">
      <formula>C9=""</formula>
    </cfRule>
  </conditionalFormatting>
  <conditionalFormatting sqref="D41 F41 H41 J41 P41 D46 F46 H46 J46 L46 N46 P46 D51 P51 D56 F56 H56 J56 L56 N56 P56 D61 F61 H61 J61 L61 N61 P61 D66 F66">
    <cfRule type="expression" dxfId="319" priority="247">
      <formula>C41=""</formula>
    </cfRule>
  </conditionalFormatting>
  <conditionalFormatting sqref="D73 P73 D78 P78 D83 F83 H83 J83 L83 N83 P83 D88 F88 H88 J88 L88 N88 P88 D93 F93 J93 L93 N93 P93 D98 F98">
    <cfRule type="expression" dxfId="318" priority="242">
      <formula>C73=""</formula>
    </cfRule>
  </conditionalFormatting>
  <conditionalFormatting sqref="E73">
    <cfRule type="expression" dxfId="317" priority="177">
      <formula>E73=""</formula>
    </cfRule>
  </conditionalFormatting>
  <conditionalFormatting sqref="E95">
    <cfRule type="expression" dxfId="316" priority="13">
      <formula>E94=""</formula>
    </cfRule>
  </conditionalFormatting>
  <conditionalFormatting sqref="E75:F75">
    <cfRule type="expression" dxfId="315" priority="146">
      <formula>E74=""</formula>
    </cfRule>
  </conditionalFormatting>
  <conditionalFormatting sqref="E79:F79 K79:L79">
    <cfRule type="expression" dxfId="314" priority="262">
      <formula>G78=""</formula>
    </cfRule>
  </conditionalFormatting>
  <conditionalFormatting sqref="E94:H94 K94:P94 I95:P95">
    <cfRule type="expression" dxfId="313" priority="151">
      <formula>E92=""</formula>
    </cfRule>
  </conditionalFormatting>
  <conditionalFormatting sqref="E30:J30 K31:P31 C36:F36 E89:P89">
    <cfRule type="expression" dxfId="312" priority="250">
      <formula>C28=""</formula>
    </cfRule>
  </conditionalFormatting>
  <conditionalFormatting sqref="F51">
    <cfRule type="expression" dxfId="311" priority="161">
      <formula>E51=""</formula>
    </cfRule>
  </conditionalFormatting>
  <conditionalFormatting sqref="F73">
    <cfRule type="expression" dxfId="310" priority="176">
      <formula>E73=""</formula>
    </cfRule>
  </conditionalFormatting>
  <conditionalFormatting sqref="F78">
    <cfRule type="expression" dxfId="309" priority="166">
      <formula>E78=""</formula>
    </cfRule>
  </conditionalFormatting>
  <conditionalFormatting sqref="G9">
    <cfRule type="expression" dxfId="308" priority="238">
      <formula>G9=""</formula>
    </cfRule>
  </conditionalFormatting>
  <conditionalFormatting sqref="G10">
    <cfRule type="expression" dxfId="307" priority="1">
      <formula>G9=""</formula>
    </cfRule>
  </conditionalFormatting>
  <conditionalFormatting sqref="G15">
    <cfRule type="expression" dxfId="306" priority="24">
      <formula>G14=""</formula>
    </cfRule>
  </conditionalFormatting>
  <conditionalFormatting sqref="G93">
    <cfRule type="expression" dxfId="305" priority="153">
      <formula>G93=""</formula>
    </cfRule>
  </conditionalFormatting>
  <conditionalFormatting sqref="G95">
    <cfRule type="expression" dxfId="304" priority="12">
      <formula>G94=""</formula>
    </cfRule>
  </conditionalFormatting>
  <conditionalFormatting sqref="G16:H17">
    <cfRule type="expression" dxfId="303" priority="27">
      <formula>G14=""</formula>
    </cfRule>
  </conditionalFormatting>
  <conditionalFormatting sqref="G75:P75 E76:P76">
    <cfRule type="expression" dxfId="302" priority="145">
      <formula>E72=""</formula>
    </cfRule>
  </conditionalFormatting>
  <conditionalFormatting sqref="H9">
    <cfRule type="expression" dxfId="301" priority="233">
      <formula>G9=""</formula>
    </cfRule>
  </conditionalFormatting>
  <conditionalFormatting sqref="H51">
    <cfRule type="expression" dxfId="300" priority="160">
      <formula>G51=""</formula>
    </cfRule>
  </conditionalFormatting>
  <conditionalFormatting sqref="H73">
    <cfRule type="expression" dxfId="299" priority="170">
      <formula>G73=""</formula>
    </cfRule>
  </conditionalFormatting>
  <conditionalFormatting sqref="H78">
    <cfRule type="expression" dxfId="298" priority="165">
      <formula>G78=""</formula>
    </cfRule>
  </conditionalFormatting>
  <conditionalFormatting sqref="H93">
    <cfRule type="expression" dxfId="297" priority="152">
      <formula>G93=""</formula>
    </cfRule>
  </conditionalFormatting>
  <conditionalFormatting sqref="I10 K10 M10 O10:P10 C10:F11 G11:H12 C79:D79 I79:J79 O79:P79">
    <cfRule type="expression" dxfId="296" priority="232">
      <formula>C9=""</formula>
    </cfRule>
  </conditionalFormatting>
  <conditionalFormatting sqref="I17 K17 M17">
    <cfRule type="expression" dxfId="295" priority="23">
      <formula>I16=""</formula>
    </cfRule>
  </conditionalFormatting>
  <conditionalFormatting sqref="I16:J16">
    <cfRule type="expression" dxfId="294" priority="25">
      <formula>I15=""</formula>
    </cfRule>
  </conditionalFormatting>
  <conditionalFormatting sqref="I11:P12 C12:F12">
    <cfRule type="expression" dxfId="293" priority="231">
      <formula>C8=""</formula>
    </cfRule>
  </conditionalFormatting>
  <conditionalFormatting sqref="I15:P15">
    <cfRule type="expression" dxfId="292" priority="172">
      <formula>I14=""</formula>
    </cfRule>
  </conditionalFormatting>
  <conditionalFormatting sqref="J51">
    <cfRule type="expression" dxfId="291" priority="159">
      <formula>I51=""</formula>
    </cfRule>
  </conditionalFormatting>
  <conditionalFormatting sqref="J73">
    <cfRule type="expression" dxfId="290" priority="169">
      <formula>I73=""</formula>
    </cfRule>
  </conditionalFormatting>
  <conditionalFormatting sqref="J78">
    <cfRule type="expression" dxfId="289" priority="164">
      <formula>I78=""</formula>
    </cfRule>
  </conditionalFormatting>
  <conditionalFormatting sqref="K41">
    <cfRule type="expression" dxfId="288" priority="195">
      <formula>K41=""</formula>
    </cfRule>
  </conditionalFormatting>
  <conditionalFormatting sqref="K16:P16">
    <cfRule type="expression" dxfId="287" priority="53">
      <formula>K14=""</formula>
    </cfRule>
  </conditionalFormatting>
  <conditionalFormatting sqref="L41">
    <cfRule type="expression" dxfId="286" priority="193">
      <formula>K41=""</formula>
    </cfRule>
  </conditionalFormatting>
  <conditionalFormatting sqref="L51">
    <cfRule type="expression" dxfId="285" priority="158">
      <formula>K51=""</formula>
    </cfRule>
  </conditionalFormatting>
  <conditionalFormatting sqref="L73">
    <cfRule type="expression" dxfId="284" priority="168">
      <formula>K73=""</formula>
    </cfRule>
  </conditionalFormatting>
  <conditionalFormatting sqref="L78">
    <cfRule type="expression" dxfId="283" priority="163">
      <formula>K78=""</formula>
    </cfRule>
  </conditionalFormatting>
  <conditionalFormatting sqref="M41">
    <cfRule type="expression" dxfId="282" priority="190">
      <formula>M41=""</formula>
    </cfRule>
  </conditionalFormatting>
  <conditionalFormatting sqref="M44:N44">
    <cfRule type="expression" dxfId="281" priority="28">
      <formula>M40=""</formula>
    </cfRule>
  </conditionalFormatting>
  <conditionalFormatting sqref="M47:N48">
    <cfRule type="expression" dxfId="280" priority="75">
      <formula>M46=""</formula>
    </cfRule>
  </conditionalFormatting>
  <conditionalFormatting sqref="N41">
    <cfRule type="expression" dxfId="279" priority="189">
      <formula>M41=""</formula>
    </cfRule>
  </conditionalFormatting>
  <conditionalFormatting sqref="N51">
    <cfRule type="expression" dxfId="278" priority="157">
      <formula>M51=""</formula>
    </cfRule>
  </conditionalFormatting>
  <conditionalFormatting sqref="N73">
    <cfRule type="expression" dxfId="277" priority="167">
      <formula>M73=""</formula>
    </cfRule>
  </conditionalFormatting>
  <conditionalFormatting sqref="N78">
    <cfRule type="expression" dxfId="276" priority="162">
      <formula>M78=""</formula>
    </cfRule>
  </conditionalFormatting>
  <conditionalFormatting sqref="O63">
    <cfRule type="expression" dxfId="275" priority="9">
      <formula>O62=""</formula>
    </cfRule>
  </conditionalFormatting>
  <conditionalFormatting sqref="O17:P17">
    <cfRule type="expression" dxfId="274" priority="52">
      <formula>O14=""</formula>
    </cfRule>
  </conditionalFormatting>
  <conditionalFormatting sqref="O21:P21">
    <cfRule type="expression" dxfId="273" priority="40">
      <formula>O19=""</formula>
    </cfRule>
  </conditionalFormatting>
  <conditionalFormatting sqref="O26:P26">
    <cfRule type="expression" dxfId="272" priority="30">
      <formula>O24=""</formula>
    </cfRule>
  </conditionalFormatting>
  <conditionalFormatting sqref="O44:P44">
    <cfRule type="expression" dxfId="271" priority="29">
      <formula>O43=""</formula>
    </cfRule>
  </conditionalFormatting>
  <conditionalFormatting sqref="O47:P47">
    <cfRule type="expression" dxfId="270" priority="63">
      <formula>O46=""</formula>
    </cfRule>
  </conditionalFormatting>
  <conditionalFormatting sqref="O48:P48">
    <cfRule type="expression" dxfId="269" priority="61">
      <formula>O46=""</formula>
    </cfRule>
  </conditionalFormatting>
  <conditionalFormatting sqref="O49:P49">
    <cfRule type="expression" dxfId="268" priority="62">
      <formula>O46=""</formula>
    </cfRule>
  </conditionalFormatting>
  <conditionalFormatting sqref="O53:P53">
    <cfRule type="expression" dxfId="267" priority="78">
      <formula>O51=""</formula>
    </cfRule>
  </conditionalFormatting>
  <conditionalFormatting sqref="O58:P58">
    <cfRule type="expression" dxfId="266" priority="102">
      <formula>O56=""</formula>
    </cfRule>
  </conditionalFormatting>
  <conditionalFormatting sqref="O80:P80">
    <cfRule type="expression" dxfId="265" priority="2">
      <formula>O78=""</formula>
    </cfRule>
  </conditionalFormatting>
  <printOptions horizontalCentered="1"/>
  <pageMargins left="0.35" right="0.35" top="0.25" bottom="0.4" header="0.25" footer="0.25"/>
  <pageSetup scale="81" orientation="portrait" r:id="rId1"/>
  <ignoredErrors>
    <ignoredError sqref="E102:P104 E100:K100 E39:P39 E36:H38 E71:P71 E68:H70 E101:K101 H74:P74 E41:M41 E9:G9 I9 E12:F13 I12:P13 K9 M9 O9 E14 G14 I14 K14 M14 O14:P14 E24:G24 G22:P22 K31:P31 G27:P27 E34:P35 K32:P32 E52:F52 G54:P54 G59:P59 E66:P67 G64:P64 E98:P99 I96:P97 O23:P23 O28:P28 O50:P50 O55:P55 O60:P60 O77:P77 O82:P82 E18:H18 O18:P18 K33:P33 E45:L45 E42:J42 L42 E43:J43 L43 O41:P41 F47 E46 G46 I46 K46 M46 O46:P46 O45:P45 O42:P42 O43:P43 O86:P86 G81:N81 G76:P76 G73 I73 K73 M73 O73:P73 E78 G78 I78 K78 M78 O78 E51 G51 I51 K51 M51 O51 O79:P79 I79:J79 E19:G19 I19:P19 I24 K24:P24 E83:K83 M83:O83 E61 G61:P61 E56 G56:P56 I95:P95 E10:F10 E29:P29 E88:P88 I93:P93 E93:F93 O10:P10"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102"/>
  <sheetViews>
    <sheetView showGridLines="0" topLeftCell="A4" zoomScale="80" zoomScaleNormal="80" workbookViewId="0">
      <selection activeCell="I28" sqref="I28:J28"/>
    </sheetView>
  </sheetViews>
  <sheetFormatPr defaultColWidth="8.88671875" defaultRowHeight="13.2" x14ac:dyDescent="0.25"/>
  <cols>
    <col min="2" max="2" width="2.77734375" customWidth="1"/>
    <col min="3" max="3" width="4.33203125" customWidth="1"/>
    <col min="4" max="4" width="12.33203125" customWidth="1"/>
    <col min="5" max="5" width="4.33203125" customWidth="1"/>
    <col min="6" max="6" width="12.33203125" customWidth="1"/>
    <col min="7" max="7" width="4.33203125" customWidth="1"/>
    <col min="8" max="8" width="12.33203125" customWidth="1"/>
    <col min="9" max="9" width="4.33203125" customWidth="1"/>
    <col min="10" max="10" width="12.33203125" customWidth="1"/>
    <col min="11" max="11" width="4.33203125" customWidth="1"/>
    <col min="12" max="12" width="12.33203125" customWidth="1"/>
    <col min="13" max="13" width="4.33203125" customWidth="1"/>
    <col min="14" max="14" width="12.33203125" customWidth="1"/>
    <col min="15" max="15" width="4.33203125" customWidth="1"/>
    <col min="16" max="16" width="12.33203125" customWidth="1"/>
    <col min="17" max="17" width="3.5546875" customWidth="1"/>
    <col min="18" max="18" width="8.88671875" style="100"/>
  </cols>
  <sheetData>
    <row r="1" spans="1:18" hidden="1" x14ac:dyDescent="0.25">
      <c r="C1" s="4"/>
      <c r="D1" s="4"/>
      <c r="E1" s="4"/>
      <c r="F1" s="4"/>
      <c r="G1" s="4"/>
      <c r="H1" s="4"/>
      <c r="I1" s="4"/>
      <c r="J1" s="4"/>
      <c r="K1" s="4"/>
      <c r="L1" s="4"/>
      <c r="M1" s="4"/>
      <c r="N1" s="4"/>
      <c r="O1" s="4"/>
      <c r="P1" s="49"/>
    </row>
    <row r="2" spans="1:18" hidden="1" x14ac:dyDescent="0.25">
      <c r="C2" s="4"/>
      <c r="D2" s="4"/>
      <c r="E2" s="4"/>
      <c r="F2" s="4"/>
      <c r="G2" s="4"/>
      <c r="H2" s="4"/>
      <c r="I2" s="4"/>
      <c r="J2" s="4"/>
      <c r="K2" s="4"/>
      <c r="L2" s="4"/>
      <c r="M2" s="4"/>
      <c r="N2" s="4"/>
      <c r="O2" s="4"/>
      <c r="P2" s="49"/>
    </row>
    <row r="3" spans="1:18" hidden="1" x14ac:dyDescent="0.25">
      <c r="C3" s="4"/>
      <c r="D3" s="4"/>
      <c r="E3" s="4"/>
      <c r="F3" s="4"/>
      <c r="G3" s="4"/>
      <c r="H3" s="4"/>
      <c r="I3" s="4"/>
      <c r="J3" s="4"/>
      <c r="K3" s="4"/>
      <c r="L3" s="4"/>
      <c r="M3" s="4"/>
      <c r="N3" s="4"/>
      <c r="O3" s="4"/>
      <c r="P3" s="49"/>
    </row>
    <row r="4" spans="1:18" ht="16.8" customHeight="1" x14ac:dyDescent="0.25"/>
    <row r="5" spans="1:18" ht="23.4" customHeight="1" x14ac:dyDescent="0.25">
      <c r="C5" s="106" t="s">
        <v>122</v>
      </c>
      <c r="I5" s="142"/>
      <c r="J5" s="142"/>
      <c r="K5" s="142"/>
      <c r="L5" s="142"/>
      <c r="M5" s="142"/>
      <c r="N5" s="142"/>
      <c r="O5" s="142"/>
      <c r="P5" s="142"/>
    </row>
    <row r="6" spans="1:18" ht="13.2" customHeight="1" x14ac:dyDescent="0.25">
      <c r="D6" s="57"/>
      <c r="E6" s="57"/>
      <c r="F6" s="57"/>
      <c r="G6" s="57"/>
      <c r="H6" s="57"/>
      <c r="I6" s="142"/>
      <c r="J6" s="142"/>
      <c r="K6" s="142"/>
      <c r="L6" s="142"/>
      <c r="M6" s="142"/>
      <c r="N6" s="142"/>
      <c r="O6" s="142"/>
      <c r="P6" s="142"/>
    </row>
    <row r="7" spans="1:18" s="1" customFormat="1" ht="10.199999999999999" hidden="1" x14ac:dyDescent="0.2">
      <c r="C7" s="1" t="s">
        <v>1</v>
      </c>
      <c r="D7" s="6">
        <f>DATE(YEAR('Q1'!$D$7),MONTH('Q1'!$D$7)+9,1)</f>
        <v>45931</v>
      </c>
      <c r="R7" s="101"/>
    </row>
    <row r="8" spans="1:18" s="2" customFormat="1" ht="18" customHeight="1" x14ac:dyDescent="0.25">
      <c r="A8" s="143">
        <f>D7</f>
        <v>45931</v>
      </c>
      <c r="C8" s="144" t="s">
        <v>109</v>
      </c>
      <c r="D8" s="145"/>
      <c r="E8" s="144" t="s">
        <v>110</v>
      </c>
      <c r="F8" s="145"/>
      <c r="G8" s="144" t="s">
        <v>111</v>
      </c>
      <c r="H8" s="145"/>
      <c r="I8" s="144" t="s">
        <v>112</v>
      </c>
      <c r="J8" s="145"/>
      <c r="K8" s="144" t="s">
        <v>113</v>
      </c>
      <c r="L8" s="145"/>
      <c r="M8" s="144" t="s">
        <v>114</v>
      </c>
      <c r="N8" s="145"/>
      <c r="O8" s="144" t="s">
        <v>115</v>
      </c>
      <c r="P8" s="145"/>
      <c r="R8" s="96" t="s">
        <v>132</v>
      </c>
    </row>
    <row r="9" spans="1:18" s="2" customFormat="1" x14ac:dyDescent="0.25">
      <c r="A9" s="143"/>
      <c r="C9" s="50" t="str">
        <f>IF(WEEKDAY($D$7,1)=startday,$D$7,"")</f>
        <v/>
      </c>
      <c r="D9" s="52" t="str">
        <f>IFERROR(INDEX(Events!$A:$A,MATCH(C9,Events!$G:$G,0)),"")</f>
        <v/>
      </c>
      <c r="E9" s="50" t="str">
        <f>IF(C9="",IF(WEEKDAY($D$7,1)=MOD(startday,7)+1,$D$7,""),C9+1)</f>
        <v/>
      </c>
      <c r="F9" s="52" t="str">
        <f>IFERROR(INDEX(Events!$A:$A,MATCH(E9,Events!$G:$G,0)),"")</f>
        <v/>
      </c>
      <c r="G9" s="50" t="str">
        <f>IF(E9="",IF(WEEKDAY($D$7,1)=MOD(startday+1,7)+1,$D$7,""),E9+1)</f>
        <v/>
      </c>
      <c r="H9" s="52" t="str">
        <f>IFERROR(INDEX(Events!$A:$A,MATCH(G9,Events!$G:$G,0)),"")</f>
        <v/>
      </c>
      <c r="I9" s="91">
        <f>IF(G9="",IF(WEEKDAY($D$7,1)=MOD(startday+2,7)+1,$D$7,""),G9+1)</f>
        <v>45931</v>
      </c>
      <c r="J9" s="92" t="s">
        <v>141</v>
      </c>
      <c r="K9" s="50">
        <f>IF(I9="",IF(WEEKDAY($D$7,1)=MOD(startday+2,7)+1,$D$7,""),I9+1)</f>
        <v>45932</v>
      </c>
      <c r="L9" s="97" t="s">
        <v>142</v>
      </c>
      <c r="M9" s="50">
        <f>IF(K9="",IF(WEEKDAY($D$7,1)=MOD(startday+3,7)+1,$D$7,""),K9+1)</f>
        <v>45933</v>
      </c>
      <c r="N9" s="97" t="s">
        <v>143</v>
      </c>
      <c r="O9" s="50">
        <f>IF(M9="",IF(WEEKDAY($D$7,1)=MOD(startday+4,7)+1,$D$7,""),M9+1)</f>
        <v>45934</v>
      </c>
      <c r="P9" s="113"/>
      <c r="R9" s="150" t="s">
        <v>124</v>
      </c>
    </row>
    <row r="10" spans="1:18" s="2" customFormat="1" x14ac:dyDescent="0.25">
      <c r="A10" s="143"/>
      <c r="C10" s="104"/>
      <c r="D10" s="105"/>
      <c r="E10" s="104"/>
      <c r="F10" s="105"/>
      <c r="G10" s="104"/>
      <c r="H10" s="105"/>
      <c r="I10" s="151" t="s">
        <v>116</v>
      </c>
      <c r="J10" s="152" t="str">
        <f>IFERROR(INDEX(Events!#REF!,MATCH(I10,Events!G:G,0)),"")</f>
        <v/>
      </c>
      <c r="K10" s="153" t="s">
        <v>181</v>
      </c>
      <c r="L10" s="154"/>
      <c r="M10" s="153" t="s">
        <v>176</v>
      </c>
      <c r="N10" s="154"/>
      <c r="O10" s="146" t="str">
        <f ca="1">IFERROR(INDEX(Events!$A:$A,MATCH(O8,Events!$H:$H,0)),"")</f>
        <v/>
      </c>
      <c r="P10" s="147" t="str">
        <f ca="1">IFERROR(INDEX(Events!G:G,MATCH(O10,Events!K:K,0)),"")</f>
        <v/>
      </c>
      <c r="R10" s="150"/>
    </row>
    <row r="11" spans="1:18" s="53" customFormat="1" ht="10.199999999999999" x14ac:dyDescent="0.25">
      <c r="A11" s="143"/>
      <c r="C11" s="146" t="str">
        <f ca="1">IFERROR(INDEX(Events!$A:$A,MATCH(C9,Events!$H:$H,0)),"")</f>
        <v/>
      </c>
      <c r="D11" s="147" t="str">
        <f ca="1">IFERROR(INDEX(Events!#REF!,MATCH(C11,Events!A:A,0)),"")</f>
        <v/>
      </c>
      <c r="E11" s="146" t="str">
        <f ca="1">IFERROR(INDEX(Events!$A:$A,MATCH(E9,Events!$H:$H,0)),"")</f>
        <v/>
      </c>
      <c r="F11" s="147" t="str">
        <f ca="1">IFERROR(INDEX(Events!#REF!,MATCH(E11,Events!C:C,0)),"")</f>
        <v/>
      </c>
      <c r="G11" s="146" t="str">
        <f ca="1">IFERROR(INDEX(Events!$A:$A,MATCH(G9,Events!$H:$H,0)),"")</f>
        <v/>
      </c>
      <c r="H11" s="147" t="str">
        <f ca="1">IFERROR(INDEX(Events!#REF!,MATCH(G11,Events!E:E,0)),"")</f>
        <v/>
      </c>
      <c r="I11" s="221" t="s">
        <v>177</v>
      </c>
      <c r="J11" s="170"/>
      <c r="K11" s="146" t="str">
        <f ca="1">IFERROR(INDEX(Events!$A:$A,MATCH(K10,Events!$H:$H,0)),"")</f>
        <v/>
      </c>
      <c r="L11" s="147"/>
      <c r="M11" s="146" t="str">
        <f ca="1">IFERROR(INDEX(Events!$A:$A,MATCH(M10,Events!$H:$H,0)),"")</f>
        <v/>
      </c>
      <c r="N11" s="147"/>
      <c r="O11" s="146" t="str">
        <f ca="1">IFERROR(INDEX(Events!$A:$A,MATCH(O9,Events!$H:$H,0)),"")</f>
        <v/>
      </c>
      <c r="P11" s="147" t="str">
        <f ca="1">IFERROR(INDEX(Events!G:G,MATCH(O11,Events!K:K,0)),"")</f>
        <v/>
      </c>
      <c r="R11" s="150"/>
    </row>
    <row r="12" spans="1:18" s="53" customFormat="1" ht="10.199999999999999" x14ac:dyDescent="0.25">
      <c r="A12" s="143"/>
      <c r="C12" s="146" t="str">
        <f ca="1">IFERROR(INDEX(Events!$A:$A,MATCH(C9,Events!$I:$I,0)),"")</f>
        <v/>
      </c>
      <c r="D12" s="147"/>
      <c r="E12" s="146" t="str">
        <f ca="1">IFERROR(INDEX(Events!$A:$A,MATCH(E9,Events!$I:$I,0)),"")</f>
        <v/>
      </c>
      <c r="F12" s="147"/>
      <c r="G12" s="146" t="str">
        <f ca="1">IFERROR(INDEX(Events!$A:$A,MATCH(G9,Events!$I:$I,0)),"")</f>
        <v/>
      </c>
      <c r="H12" s="147"/>
      <c r="I12" s="151"/>
      <c r="J12" s="152"/>
      <c r="K12" s="146" t="str">
        <f ca="1">IFERROR(INDEX(Events!$A:$A,MATCH(K9,Events!$I:$I,0)),"")</f>
        <v/>
      </c>
      <c r="L12" s="147"/>
      <c r="M12" s="146" t="str">
        <f ca="1">IFERROR(INDEX(Events!$A:$A,MATCH(M9,Events!$I:$I,0)),"")</f>
        <v/>
      </c>
      <c r="N12" s="147"/>
      <c r="O12" s="146" t="str">
        <f ca="1">IFERROR(INDEX(Events!$A:$A,MATCH(O9,Events!$I:$I,0)),"")</f>
        <v/>
      </c>
      <c r="P12" s="147"/>
      <c r="R12" s="150"/>
    </row>
    <row r="13" spans="1:18" s="53" customFormat="1" ht="10.199999999999999" x14ac:dyDescent="0.25">
      <c r="A13" s="143"/>
      <c r="C13" s="146" t="str">
        <f ca="1">IFERROR(INDEX(Events!$A:$A,MATCH(C9,Events!$J:$J,0)),"")</f>
        <v/>
      </c>
      <c r="D13" s="147"/>
      <c r="E13" s="146" t="str">
        <f ca="1">IFERROR(INDEX(Events!$A:$A,MATCH(E9,Events!$J:$J,0)),"")</f>
        <v/>
      </c>
      <c r="F13" s="147"/>
      <c r="G13" s="146" t="str">
        <f ca="1">IFERROR(INDEX(Events!$A:$A,MATCH(G9,Events!$J:$J,0)),"")</f>
        <v/>
      </c>
      <c r="H13" s="147"/>
      <c r="I13" s="151" t="s">
        <v>123</v>
      </c>
      <c r="J13" s="152"/>
      <c r="K13" s="146" t="str">
        <f ca="1">IFERROR(INDEX(Events!$A:$A,MATCH(K9,Events!$J:$J,0)),"")</f>
        <v/>
      </c>
      <c r="L13" s="147"/>
      <c r="M13" s="146" t="str">
        <f ca="1">IFERROR(INDEX(Events!$A:$A,MATCH(M9,Events!$J:$J,0)),"")</f>
        <v/>
      </c>
      <c r="N13" s="147"/>
      <c r="O13" s="146" t="str">
        <f ca="1">IFERROR(INDEX(Events!$A:$A,MATCH(O9,Events!$J:$J,0)),"")</f>
        <v/>
      </c>
      <c r="P13" s="147"/>
      <c r="R13" s="150"/>
    </row>
    <row r="14" spans="1:18" s="2" customFormat="1" x14ac:dyDescent="0.25">
      <c r="A14" s="143"/>
      <c r="C14" s="50">
        <f>IF(O9="","",IF(MONTH(O9+1)&lt;&gt;MONTH(O9),"",O9+1))</f>
        <v>45935</v>
      </c>
      <c r="D14" s="52" t="str">
        <f>IFERROR(INDEX(Events!$A:$A,MATCH(C14,Events!$G:$G,0)),"")</f>
        <v/>
      </c>
      <c r="E14" s="50">
        <f>IF(C14="","",IF(MONTH(C14+1)&lt;&gt;MONTH(C14),"",C14+1))</f>
        <v>45936</v>
      </c>
      <c r="F14" s="97" t="s">
        <v>144</v>
      </c>
      <c r="G14" s="50">
        <f>IF(E14="","",IF(MONTH(E14+1)&lt;&gt;MONTH(E14),"",E14+1))</f>
        <v>45937</v>
      </c>
      <c r="H14" s="97" t="s">
        <v>145</v>
      </c>
      <c r="I14" s="50">
        <f>IF(G14="","",IF(MONTH(G14+1)&lt;&gt;MONTH(G14),"",G14+1))</f>
        <v>45938</v>
      </c>
      <c r="J14" s="97" t="s">
        <v>146</v>
      </c>
      <c r="K14" s="50">
        <f>IF(I14="","",IF(MONTH(I14+1)&lt;&gt;MONTH(I14),"",I14+1))</f>
        <v>45939</v>
      </c>
      <c r="L14" s="97" t="s">
        <v>147</v>
      </c>
      <c r="M14" s="50">
        <f>IF(K14="","",IF(MONTH(K14+1)&lt;&gt;MONTH(K14),"",K14+1))</f>
        <v>45940</v>
      </c>
      <c r="N14" s="97" t="s">
        <v>151</v>
      </c>
      <c r="O14" s="50">
        <f>IF(M14="","",IF(MONTH(M14+1)&lt;&gt;MONTH(M14),"",M14+1))</f>
        <v>45941</v>
      </c>
      <c r="P14" s="52" t="str">
        <f>IFERROR(INDEX(Events!$A:$A,MATCH(O14,Events!$G:$G,0)),"")</f>
        <v/>
      </c>
      <c r="R14" s="150" t="s">
        <v>125</v>
      </c>
    </row>
    <row r="15" spans="1:18" s="2" customFormat="1" x14ac:dyDescent="0.25">
      <c r="A15" s="143"/>
      <c r="C15" s="153" t="s">
        <v>176</v>
      </c>
      <c r="D15" s="154"/>
      <c r="E15" s="153" t="s">
        <v>176</v>
      </c>
      <c r="F15" s="154"/>
      <c r="G15" s="153" t="s">
        <v>176</v>
      </c>
      <c r="H15" s="154"/>
      <c r="I15" s="153" t="s">
        <v>176</v>
      </c>
      <c r="J15" s="154"/>
      <c r="K15" s="155" t="s">
        <v>177</v>
      </c>
      <c r="L15" s="155"/>
      <c r="M15" s="156" t="s">
        <v>177</v>
      </c>
      <c r="N15" s="157"/>
      <c r="O15" s="146" t="str">
        <f ca="1">IFERROR(INDEX(Events!$A:$A,MATCH(O14,Events!$H:$H,0)),"")</f>
        <v/>
      </c>
      <c r="P15" s="147"/>
      <c r="R15" s="150"/>
    </row>
    <row r="16" spans="1:18" s="53" customFormat="1" ht="10.199999999999999" x14ac:dyDescent="0.25">
      <c r="A16" s="143"/>
      <c r="C16" s="146" t="str">
        <f ca="1">IFERROR(INDEX(Events!$A:$A,MATCH(C14,Events!$H:$H,0)),"")</f>
        <v/>
      </c>
      <c r="D16" s="147" t="str">
        <f ca="1">IFERROR(INDEX(Events!#REF!,MATCH(C16,Events!A:A,0)),"")</f>
        <v/>
      </c>
      <c r="E16" s="146" t="str">
        <f ca="1">IFERROR(INDEX(Events!$A:$A,MATCH(E14,Events!$H:$H,0)),"")</f>
        <v/>
      </c>
      <c r="F16" s="147" t="str">
        <f ca="1">IFERROR(INDEX(Events!#REF!,MATCH(E16,Events!C:C,0)),"")</f>
        <v/>
      </c>
      <c r="G16" s="146" t="str">
        <f ca="1">IFERROR(INDEX(Events!$A:$A,MATCH(G14,Events!$H:$H,0)),"")</f>
        <v/>
      </c>
      <c r="H16" s="147" t="str">
        <f ca="1">IFERROR(INDEX(Events!#REF!,MATCH(G16,Events!E:E,0)),"")</f>
        <v/>
      </c>
      <c r="I16" s="158" t="s">
        <v>117</v>
      </c>
      <c r="J16" s="159" t="str">
        <f>IFERROR(INDEX(Events!#REF!,MATCH(I16,Events!G:G,0)),"")</f>
        <v/>
      </c>
      <c r="K16" s="162" t="s">
        <v>121</v>
      </c>
      <c r="L16" s="162"/>
      <c r="M16" s="160" t="s">
        <v>121</v>
      </c>
      <c r="N16" s="161"/>
      <c r="O16" s="146" t="str">
        <f ca="1">IFERROR(INDEX(Events!$A:$A,MATCH(O14,Events!$H:$H,0)),"")</f>
        <v/>
      </c>
      <c r="P16" s="147" t="str">
        <f ca="1">IFERROR(INDEX(Events!G:G,MATCH(O16,Events!K:K,0)),"")</f>
        <v/>
      </c>
      <c r="R16" s="150"/>
    </row>
    <row r="17" spans="1:18" s="53" customFormat="1" ht="10.199999999999999" x14ac:dyDescent="0.25">
      <c r="A17" s="143"/>
      <c r="C17" s="146" t="str">
        <f ca="1">IFERROR(INDEX(Events!$A:$A,MATCH(C14,Events!$I:$I,0)),"")</f>
        <v/>
      </c>
      <c r="D17" s="147"/>
      <c r="E17" s="146" t="str">
        <f ca="1">IFERROR(INDEX(Events!$A:$A,MATCH(E14,Events!$I:$I,0)),"")</f>
        <v/>
      </c>
      <c r="F17" s="147"/>
      <c r="G17" s="146" t="str">
        <f ca="1">IFERROR(INDEX(Events!$A:$A,MATCH(G14,Events!$I:$I,0)),"")</f>
        <v/>
      </c>
      <c r="H17" s="147"/>
      <c r="I17" s="158" t="s">
        <v>118</v>
      </c>
      <c r="J17" s="159"/>
      <c r="K17" s="165" t="s">
        <v>120</v>
      </c>
      <c r="L17" s="165"/>
      <c r="M17" s="163" t="s">
        <v>120</v>
      </c>
      <c r="N17" s="164"/>
      <c r="O17" s="146" t="str">
        <f ca="1">IFERROR(INDEX(Events!$A:$A,MATCH(O14,Events!$I:$I,0)),"")</f>
        <v/>
      </c>
      <c r="P17" s="147"/>
      <c r="R17" s="150"/>
    </row>
    <row r="18" spans="1:18" s="53" customFormat="1" ht="10.199999999999999" x14ac:dyDescent="0.25">
      <c r="A18" s="143"/>
      <c r="C18" s="146" t="str">
        <f ca="1">IFERROR(INDEX(Events!$A:$A,MATCH(C14,Events!$J:$J,0)),"")</f>
        <v/>
      </c>
      <c r="D18" s="147"/>
      <c r="E18" s="146" t="str">
        <f ca="1">IFERROR(INDEX(Events!$A:$A,MATCH(E14,Events!$J:$J,0)),"")</f>
        <v/>
      </c>
      <c r="F18" s="147"/>
      <c r="G18" s="146" t="str">
        <f ca="1">IFERROR(INDEX(Events!$A:$A,MATCH(G14,Events!$J:$J,0)),"")</f>
        <v/>
      </c>
      <c r="H18" s="147"/>
      <c r="I18" s="146" t="str">
        <f ca="1">IFERROR(INDEX(Events!$A:$A,MATCH(I14,Events!$J:$J,0)),"")</f>
        <v/>
      </c>
      <c r="J18" s="147"/>
      <c r="K18" s="166" t="s">
        <v>119</v>
      </c>
      <c r="L18" s="167" t="str">
        <f>IFERROR(INDEX([1]Events!C:C,MATCH(K18,[1]Events!#REF!,0)),"")</f>
        <v/>
      </c>
      <c r="M18" s="146" t="str">
        <f ca="1">IFERROR(INDEX(Events!$A:$A,MATCH(M14,Events!$J:$J,0)),"")</f>
        <v/>
      </c>
      <c r="N18" s="147"/>
      <c r="O18" s="146" t="str">
        <f ca="1">IFERROR(INDEX(Events!$A:$A,MATCH(O14,Events!$J:$J,0)),"")</f>
        <v/>
      </c>
      <c r="P18" s="147"/>
      <c r="R18" s="150"/>
    </row>
    <row r="19" spans="1:18" s="2" customFormat="1" x14ac:dyDescent="0.25">
      <c r="A19" s="143"/>
      <c r="C19" s="50">
        <f>IF(O14="","",IF(MONTH(O14+1)&lt;&gt;MONTH(O14),"",O14+1))</f>
        <v>45942</v>
      </c>
      <c r="D19" s="52" t="str">
        <f>IFERROR(INDEX(Events!$A:$A,MATCH(C19,Events!$G:$G,0)),"")</f>
        <v/>
      </c>
      <c r="E19" s="50">
        <f>IF(C19="","",IF(MONTH(C19+1)&lt;&gt;MONTH(C19),"",C19+1))</f>
        <v>45943</v>
      </c>
      <c r="F19" s="52" t="str">
        <f>IFERROR(INDEX(Events!$A:$A,MATCH(E19,Events!$G:$G,0)),"")</f>
        <v>Columbus Day</v>
      </c>
      <c r="G19" s="50">
        <f>IF(E19="","",IF(MONTH(E19+1)&lt;&gt;MONTH(E19),"",E19+1))</f>
        <v>45944</v>
      </c>
      <c r="H19" s="52" t="str">
        <f>IFERROR(INDEX(Events!$A:$A,MATCH(G19,Events!$G:$G,0)),"")</f>
        <v/>
      </c>
      <c r="I19" s="50">
        <f>IF(G19="","",IF(MONTH(G19+1)&lt;&gt;MONTH(G19),"",G19+1))</f>
        <v>45945</v>
      </c>
      <c r="J19" s="52" t="str">
        <f>IFERROR(INDEX(Events!$A:$A,MATCH(I19,Events!$G:$G,0)),"")</f>
        <v/>
      </c>
      <c r="K19" s="50">
        <f>IF(I19="","",IF(MONTH(I19+1)&lt;&gt;MONTH(I19),"",I19+1))</f>
        <v>45946</v>
      </c>
      <c r="L19" s="52" t="str">
        <f>IFERROR(INDEX(Events!$A:$A,MATCH(K19,Events!$G:$G,0)),"")</f>
        <v>Boss's Day</v>
      </c>
      <c r="M19" s="50">
        <f>IF(K19="","",IF(MONTH(K19+1)&lt;&gt;MONTH(K19),"",K19+1))</f>
        <v>45947</v>
      </c>
      <c r="N19" s="52" t="str">
        <f>IFERROR(INDEX(Events!$A:$A,MATCH(M19,Events!$G:$G,0)),"")</f>
        <v/>
      </c>
      <c r="O19" s="50">
        <f>IF(M19="","",IF(MONTH(M19+1)&lt;&gt;MONTH(M19),"",M19+1))</f>
        <v>45948</v>
      </c>
      <c r="P19" s="52" t="str">
        <f>IFERROR(INDEX(Events!$A:$A,MATCH(O19,Events!$G:$G,0)),"")</f>
        <v/>
      </c>
      <c r="R19" s="150" t="s">
        <v>126</v>
      </c>
    </row>
    <row r="20" spans="1:18" s="2" customFormat="1" x14ac:dyDescent="0.25">
      <c r="A20" s="143"/>
      <c r="C20" s="168"/>
      <c r="D20" s="169"/>
      <c r="E20" s="156" t="s">
        <v>177</v>
      </c>
      <c r="F20" s="157"/>
      <c r="G20" s="156" t="s">
        <v>177</v>
      </c>
      <c r="H20" s="157"/>
      <c r="I20" s="156" t="s">
        <v>177</v>
      </c>
      <c r="J20" s="157"/>
      <c r="K20" s="156" t="s">
        <v>177</v>
      </c>
      <c r="L20" s="157"/>
      <c r="M20" s="156" t="s">
        <v>177</v>
      </c>
      <c r="N20" s="157"/>
      <c r="O20" s="146" t="str">
        <f ca="1">IFERROR(INDEX(Events!$A:$A,MATCH(O19,Events!$H:$H,0)),"")</f>
        <v/>
      </c>
      <c r="P20" s="147"/>
      <c r="R20" s="150"/>
    </row>
    <row r="21" spans="1:18" s="53" customFormat="1" ht="10.199999999999999" x14ac:dyDescent="0.25">
      <c r="A21" s="143"/>
      <c r="C21" s="171"/>
      <c r="D21" s="172"/>
      <c r="E21" s="160" t="s">
        <v>121</v>
      </c>
      <c r="F21" s="161"/>
      <c r="G21" s="160" t="s">
        <v>121</v>
      </c>
      <c r="H21" s="161"/>
      <c r="I21" s="160" t="s">
        <v>121</v>
      </c>
      <c r="J21" s="161"/>
      <c r="K21" s="160" t="s">
        <v>121</v>
      </c>
      <c r="L21" s="161"/>
      <c r="M21" s="160" t="s">
        <v>121</v>
      </c>
      <c r="N21" s="161"/>
      <c r="O21" s="146" t="str">
        <f ca="1">IFERROR(INDEX(Events!$A:$A,MATCH(O19,Events!$H:$H,0)),"")</f>
        <v/>
      </c>
      <c r="P21" s="147" t="str">
        <f ca="1">IFERROR(INDEX(Events!G:G,MATCH(O21,Events!K:K,0)),"")</f>
        <v/>
      </c>
      <c r="R21" s="150"/>
    </row>
    <row r="22" spans="1:18" s="53" customFormat="1" ht="10.199999999999999" x14ac:dyDescent="0.25">
      <c r="A22" s="143"/>
      <c r="C22" s="171"/>
      <c r="D22" s="172"/>
      <c r="E22" s="163" t="s">
        <v>120</v>
      </c>
      <c r="F22" s="164"/>
      <c r="G22" s="163" t="s">
        <v>120</v>
      </c>
      <c r="H22" s="164"/>
      <c r="I22" s="163" t="s">
        <v>120</v>
      </c>
      <c r="J22" s="164"/>
      <c r="K22" s="163" t="s">
        <v>120</v>
      </c>
      <c r="L22" s="164"/>
      <c r="M22" s="163" t="s">
        <v>120</v>
      </c>
      <c r="N22" s="164"/>
      <c r="O22" s="146" t="str">
        <f ca="1">IFERROR(INDEX(Events!$A:$A,MATCH(O19,Events!$I:$I,0)),"")</f>
        <v/>
      </c>
      <c r="P22" s="147"/>
      <c r="R22" s="150"/>
    </row>
    <row r="23" spans="1:18" s="53" customFormat="1" ht="10.199999999999999" x14ac:dyDescent="0.25">
      <c r="A23" s="143"/>
      <c r="C23" s="146" t="str">
        <f ca="1">IFERROR(INDEX(Events!$A:$A,MATCH(C19,Events!$J:$J,0)),"")</f>
        <v/>
      </c>
      <c r="D23" s="147"/>
      <c r="E23" s="146" t="str">
        <f ca="1">IFERROR(INDEX(Events!$A:$A,MATCH(E19,Events!$J:$J,0)),"")</f>
        <v/>
      </c>
      <c r="F23" s="147"/>
      <c r="G23" s="146" t="str">
        <f ca="1">IFERROR(INDEX(Events!$A:$A,MATCH(G19,Events!$J:$J,0)),"")</f>
        <v/>
      </c>
      <c r="H23" s="147"/>
      <c r="I23" s="146" t="str">
        <f ca="1">IFERROR(INDEX(Events!$A:$A,MATCH(I19,Events!$J:$J,0)),"")</f>
        <v/>
      </c>
      <c r="J23" s="147"/>
      <c r="K23" s="146" t="str">
        <f ca="1">IFERROR(INDEX(Events!$A:$A,MATCH(K19,Events!$J:$J,0)),"")</f>
        <v/>
      </c>
      <c r="L23" s="147"/>
      <c r="M23" s="146" t="str">
        <f ca="1">IFERROR(INDEX(Events!$A:$A,MATCH(M19,Events!$J:$J,0)),"")</f>
        <v/>
      </c>
      <c r="N23" s="147"/>
      <c r="O23" s="146" t="str">
        <f ca="1">IFERROR(INDEX(Events!$A:$A,MATCH(O19,Events!$J:$J,0)),"")</f>
        <v/>
      </c>
      <c r="P23" s="147"/>
      <c r="R23" s="150"/>
    </row>
    <row r="24" spans="1:18" s="2" customFormat="1" x14ac:dyDescent="0.25">
      <c r="A24" s="143"/>
      <c r="C24" s="50">
        <f>IF(O19="","",IF(MONTH(O19+1)&lt;&gt;MONTH(O19),"",O19+1))</f>
        <v>45949</v>
      </c>
      <c r="D24" s="52" t="str">
        <f>IFERROR(INDEX(Events!$A:$A,MATCH(C24,Events!$G:$G,0)),"")</f>
        <v/>
      </c>
      <c r="E24" s="50">
        <f>IF(C24="","",IF(MONTH(C24+1)&lt;&gt;MONTH(C24),"",C24+1))</f>
        <v>45950</v>
      </c>
      <c r="F24" s="52" t="str">
        <f>IFERROR(INDEX(Events!$A:$A,MATCH(E24,Events!$G:$G,0)),"")</f>
        <v/>
      </c>
      <c r="G24" s="50">
        <f>IF(E24="","",IF(MONTH(E24+1)&lt;&gt;MONTH(E24),"",E24+1))</f>
        <v>45951</v>
      </c>
      <c r="H24" s="52" t="str">
        <f>IFERROR(INDEX(Events!$A:$A,MATCH(G24,Events!$G:$G,0)),"")</f>
        <v/>
      </c>
      <c r="I24" s="50">
        <f>IF(G24="","",IF(MONTH(G24+1)&lt;&gt;MONTH(G24),"",G24+1))</f>
        <v>45952</v>
      </c>
      <c r="J24" s="52" t="s">
        <v>187</v>
      </c>
      <c r="K24" s="50">
        <f>IF(I24="","",IF(MONTH(I24+1)&lt;&gt;MONTH(I24),"",I24+1))</f>
        <v>45953</v>
      </c>
      <c r="L24" s="52" t="str">
        <f>IFERROR(INDEX(Events!$A:$A,MATCH(K24,Events!$G:$G,0)),"")</f>
        <v/>
      </c>
      <c r="M24" s="50">
        <f>IF(K24="","",IF(MONTH(K24+1)&lt;&gt;MONTH(K24),"",K24+1))</f>
        <v>45954</v>
      </c>
      <c r="N24" s="52" t="str">
        <f>IFERROR(INDEX(Events!$A:$A,MATCH(M24,Events!$G:$G,0)),"")</f>
        <v>United Nations Day</v>
      </c>
      <c r="O24" s="50">
        <f>IF(M24="","",IF(MONTH(M24+1)&lt;&gt;MONTH(M24),"",M24+1))</f>
        <v>45955</v>
      </c>
      <c r="P24" s="52" t="str">
        <f>IFERROR(INDEX(Events!$A:$A,MATCH(O24,Events!$G:$G,0)),"")</f>
        <v/>
      </c>
      <c r="R24" s="150" t="s">
        <v>127</v>
      </c>
    </row>
    <row r="25" spans="1:18" s="2" customFormat="1" x14ac:dyDescent="0.25">
      <c r="A25" s="143"/>
      <c r="C25" s="168"/>
      <c r="D25" s="169"/>
      <c r="E25" s="156" t="s">
        <v>177</v>
      </c>
      <c r="F25" s="157"/>
      <c r="G25" s="156" t="s">
        <v>177</v>
      </c>
      <c r="H25" s="157"/>
      <c r="I25" s="221" t="s">
        <v>177</v>
      </c>
      <c r="J25" s="170"/>
      <c r="K25" s="156" t="s">
        <v>177</v>
      </c>
      <c r="L25" s="157"/>
      <c r="M25" s="156" t="s">
        <v>177</v>
      </c>
      <c r="N25" s="157"/>
      <c r="O25" s="146" t="str">
        <f ca="1">IFERROR(INDEX(Events!$A:$A,MATCH(O24,Events!$H:$H,0)),"")</f>
        <v/>
      </c>
      <c r="P25" s="147"/>
      <c r="R25" s="150"/>
    </row>
    <row r="26" spans="1:18" s="53" customFormat="1" ht="10.199999999999999" x14ac:dyDescent="0.25">
      <c r="A26" s="143"/>
      <c r="C26" s="171"/>
      <c r="D26" s="172"/>
      <c r="E26" s="160" t="s">
        <v>121</v>
      </c>
      <c r="F26" s="161"/>
      <c r="G26" s="160" t="s">
        <v>121</v>
      </c>
      <c r="H26" s="161"/>
      <c r="I26" s="160" t="s">
        <v>121</v>
      </c>
      <c r="J26" s="161"/>
      <c r="K26" s="160" t="s">
        <v>121</v>
      </c>
      <c r="L26" s="161"/>
      <c r="M26" s="160" t="s">
        <v>121</v>
      </c>
      <c r="N26" s="161"/>
      <c r="O26" s="146" t="str">
        <f ca="1">IFERROR(INDEX(Events!$A:$A,MATCH(O24,Events!$H:$H,0)),"")</f>
        <v/>
      </c>
      <c r="P26" s="147" t="str">
        <f ca="1">IFERROR(INDEX(Events!G:G,MATCH(O26,Events!K:K,0)),"")</f>
        <v/>
      </c>
      <c r="R26" s="150"/>
    </row>
    <row r="27" spans="1:18" s="53" customFormat="1" ht="10.199999999999999" x14ac:dyDescent="0.25">
      <c r="A27" s="143"/>
      <c r="C27" s="171"/>
      <c r="D27" s="172"/>
      <c r="E27" s="163" t="s">
        <v>120</v>
      </c>
      <c r="F27" s="164"/>
      <c r="G27" s="163" t="s">
        <v>120</v>
      </c>
      <c r="H27" s="164"/>
      <c r="I27" s="163" t="s">
        <v>120</v>
      </c>
      <c r="J27" s="164"/>
      <c r="K27" s="163" t="s">
        <v>120</v>
      </c>
      <c r="L27" s="164"/>
      <c r="M27" s="163" t="s">
        <v>120</v>
      </c>
      <c r="N27" s="164"/>
      <c r="O27" s="146" t="str">
        <f ca="1">IFERROR(INDEX(Events!$A:$A,MATCH(O24,Events!$I:$I,0)),"")</f>
        <v/>
      </c>
      <c r="P27" s="147"/>
      <c r="R27" s="150"/>
    </row>
    <row r="28" spans="1:18" s="53" customFormat="1" ht="10.199999999999999" x14ac:dyDescent="0.25">
      <c r="A28" s="143"/>
      <c r="C28" s="146" t="str">
        <f ca="1">IFERROR(INDEX(Events!$A:$A,MATCH(C24,Events!$J:$J,0)),"")</f>
        <v/>
      </c>
      <c r="D28" s="147"/>
      <c r="E28" s="146" t="str">
        <f ca="1">IFERROR(INDEX(Events!$A:$A,MATCH(E24,Events!$J:$J,0)),"")</f>
        <v/>
      </c>
      <c r="F28" s="147"/>
      <c r="G28" s="146" t="str">
        <f ca="1">IFERROR(INDEX(Events!$A:$A,MATCH(G24,Events!$J:$J,0)),"")</f>
        <v/>
      </c>
      <c r="H28" s="147"/>
      <c r="I28" s="228" t="s">
        <v>186</v>
      </c>
      <c r="J28" s="229" t="str">
        <f>IFERROR(INDEX(Events!A:A,MATCH(I28,Events!G:G,0)),"")</f>
        <v/>
      </c>
      <c r="K28" s="146" t="str">
        <f ca="1">IFERROR(INDEX(Events!$A:$A,MATCH(K24,Events!$J:$J,0)),"")</f>
        <v/>
      </c>
      <c r="L28" s="147"/>
      <c r="M28" s="146" t="str">
        <f ca="1">IFERROR(INDEX(Events!$A:$A,MATCH(M24,Events!$J:$J,0)),"")</f>
        <v/>
      </c>
      <c r="N28" s="147"/>
      <c r="O28" s="146" t="str">
        <f ca="1">IFERROR(INDEX(Events!$A:$A,MATCH(O24,Events!$J:$J,0)),"")</f>
        <v/>
      </c>
      <c r="P28" s="147"/>
      <c r="R28" s="150"/>
    </row>
    <row r="29" spans="1:18" s="2" customFormat="1" x14ac:dyDescent="0.25">
      <c r="A29" s="143"/>
      <c r="C29" s="50">
        <f>IF(O24="","",IF(MONTH(O24+1)&lt;&gt;MONTH(O24),"",O24+1))</f>
        <v>45956</v>
      </c>
      <c r="D29" s="52" t="str">
        <f>IFERROR(INDEX(Events!$A:$A,MATCH(C29,Events!$G:$G,0)),"")</f>
        <v/>
      </c>
      <c r="E29" s="50">
        <f>IF(C29="","",IF(MONTH(C29+1)&lt;&gt;MONTH(C29),"",C29+1))</f>
        <v>45957</v>
      </c>
      <c r="F29" s="52" t="str">
        <f>IFERROR(INDEX(Events!$A:$A,MATCH(E29,Events!$G:$G,0)),"")</f>
        <v/>
      </c>
      <c r="G29" s="50">
        <f>IF(E29="","",IF(MONTH(E29+1)&lt;&gt;MONTH(E29),"",E29+1))</f>
        <v>45958</v>
      </c>
      <c r="H29" s="52" t="str">
        <f>IFERROR(INDEX(Events!$A:$A,MATCH(G29,Events!$G:$G,0)),"")</f>
        <v/>
      </c>
      <c r="I29" s="50">
        <f>IF(G29="","",IF(MONTH(G29+1)&lt;&gt;MONTH(G29),"",G29+1))</f>
        <v>45959</v>
      </c>
      <c r="J29" s="52" t="str">
        <f>IFERROR(INDEX(Events!$A:$A,MATCH(I29,Events!$G:$G,0)),"")</f>
        <v/>
      </c>
      <c r="K29" s="50">
        <f>IF(I29="","",IF(MONTH(I29+1)&lt;&gt;MONTH(I29),"",I29+1))</f>
        <v>45960</v>
      </c>
      <c r="L29" s="52" t="str">
        <f>IFERROR(INDEX(Events!$A:$A,MATCH(K29,Events!$G:$G,0)),"")</f>
        <v/>
      </c>
      <c r="M29" s="50">
        <f>IF(K29="","",IF(MONTH(K29+1)&lt;&gt;MONTH(K29),"",K29+1))</f>
        <v>45961</v>
      </c>
      <c r="N29" s="52" t="str">
        <f>IFERROR(INDEX(Events!$A:$A,MATCH(M29,Events!$G:$G,0)),"")</f>
        <v>Halloween</v>
      </c>
      <c r="O29" s="50" t="str">
        <f>IF(M29="","",IF(MONTH(M29+1)&lt;&gt;MONTH(M29),"",M29+1))</f>
        <v/>
      </c>
      <c r="P29" s="52" t="str">
        <f>IFERROR(INDEX(Events!$A:$A,MATCH(O29,Events!$G:$G,0)),"")</f>
        <v/>
      </c>
      <c r="R29" s="150" t="s">
        <v>128</v>
      </c>
    </row>
    <row r="30" spans="1:18" s="2" customFormat="1" x14ac:dyDescent="0.25">
      <c r="A30" s="143"/>
      <c r="C30" s="168"/>
      <c r="D30" s="169"/>
      <c r="E30" s="156" t="s">
        <v>177</v>
      </c>
      <c r="F30" s="157"/>
      <c r="G30" s="156" t="s">
        <v>177</v>
      </c>
      <c r="H30" s="157"/>
      <c r="I30" s="156" t="s">
        <v>177</v>
      </c>
      <c r="J30" s="157"/>
      <c r="K30" s="156" t="s">
        <v>177</v>
      </c>
      <c r="L30" s="157"/>
      <c r="M30" s="156" t="s">
        <v>177</v>
      </c>
      <c r="N30" s="157"/>
      <c r="O30" s="146" t="str">
        <f ca="1">IFERROR(INDEX(Events!$A:$A,MATCH(O29,Events!$H:$H,0)),"")</f>
        <v/>
      </c>
      <c r="P30" s="147"/>
      <c r="R30" s="150"/>
    </row>
    <row r="31" spans="1:18" s="53" customFormat="1" ht="10.199999999999999" x14ac:dyDescent="0.25">
      <c r="A31" s="143"/>
      <c r="C31" s="171"/>
      <c r="D31" s="172"/>
      <c r="E31" s="160" t="s">
        <v>121</v>
      </c>
      <c r="F31" s="161"/>
      <c r="G31" s="160" t="s">
        <v>121</v>
      </c>
      <c r="H31" s="161"/>
      <c r="I31" s="160" t="s">
        <v>121</v>
      </c>
      <c r="J31" s="161"/>
      <c r="K31" s="160" t="s">
        <v>121</v>
      </c>
      <c r="L31" s="161"/>
      <c r="M31" s="160" t="s">
        <v>121</v>
      </c>
      <c r="N31" s="161"/>
      <c r="O31" s="146" t="str">
        <f ca="1">IFERROR(INDEX(Events!$A:$A,MATCH(O29,Events!$H:$H,0)),"")</f>
        <v/>
      </c>
      <c r="P31" s="147" t="str">
        <f ca="1">IFERROR(INDEX(Events!G:G,MATCH(O31,Events!K:K,0)),"")</f>
        <v/>
      </c>
      <c r="R31" s="150"/>
    </row>
    <row r="32" spans="1:18" s="53" customFormat="1" ht="10.199999999999999" x14ac:dyDescent="0.25">
      <c r="A32" s="143"/>
      <c r="C32" s="171"/>
      <c r="D32" s="172"/>
      <c r="E32" s="163" t="s">
        <v>120</v>
      </c>
      <c r="F32" s="164"/>
      <c r="G32" s="163" t="s">
        <v>120</v>
      </c>
      <c r="H32" s="164"/>
      <c r="I32" s="163" t="s">
        <v>120</v>
      </c>
      <c r="J32" s="164"/>
      <c r="K32" s="163" t="s">
        <v>120</v>
      </c>
      <c r="L32" s="164"/>
      <c r="M32" s="163" t="s">
        <v>120</v>
      </c>
      <c r="N32" s="164"/>
      <c r="O32" s="146" t="str">
        <f ca="1">IFERROR(INDEX(Events!$A:$A,MATCH(O29,Events!$I:$I,0)),"")</f>
        <v/>
      </c>
      <c r="P32" s="147"/>
      <c r="R32" s="150"/>
    </row>
    <row r="33" spans="1:18" s="53" customFormat="1" ht="10.199999999999999" x14ac:dyDescent="0.25">
      <c r="A33" s="143"/>
      <c r="C33" s="211" t="str">
        <f ca="1">IFERROR(INDEX(Events!$A:$A,MATCH(C29,Events!$J:$J,0)),"")</f>
        <v/>
      </c>
      <c r="D33" s="177"/>
      <c r="E33" s="211" t="str">
        <f ca="1">IFERROR(INDEX(Events!$A:$A,MATCH(E29,Events!$J:$J,0)),"")</f>
        <v/>
      </c>
      <c r="F33" s="177"/>
      <c r="G33" s="180" t="str">
        <f ca="1">IFERROR(INDEX(Events!$A:$A,MATCH(G29,Events!$J:$J,0)),"")</f>
        <v/>
      </c>
      <c r="H33" s="181"/>
      <c r="I33" s="180" t="str">
        <f ca="1">IFERROR(INDEX(Events!$A:$A,MATCH(I29,Events!$J:$J,0)),"")</f>
        <v/>
      </c>
      <c r="J33" s="181"/>
      <c r="K33" s="180" t="str">
        <f ca="1">IFERROR(INDEX(Events!$A:$A,MATCH(K29,Events!$J:$J,0)),"")</f>
        <v/>
      </c>
      <c r="L33" s="181"/>
      <c r="M33" s="180" t="str">
        <f ca="1">IFERROR(INDEX(Events!$A:$A,MATCH(M29,Events!$J:$J,0)),"")</f>
        <v/>
      </c>
      <c r="N33" s="181"/>
      <c r="O33" s="180" t="str">
        <f ca="1">IFERROR(INDEX(Events!$A:$A,MATCH(O29,Events!$J:$J,0)),"")</f>
        <v/>
      </c>
      <c r="P33" s="181"/>
      <c r="R33" s="150"/>
    </row>
    <row r="34" spans="1:18" hidden="1" x14ac:dyDescent="0.25">
      <c r="C34" s="104" t="str">
        <f>IF(O29="","",IF(MONTH(O29+1)&lt;&gt;MONTH(O29),"",O29+1))</f>
        <v/>
      </c>
      <c r="D34" s="105" t="str">
        <f>IFERROR(INDEX(Events!$A:$A,MATCH(C34,Events!$G:$G,0)),"")</f>
        <v/>
      </c>
      <c r="E34" s="104" t="str">
        <f>IF(C34="","",IF(MONTH(C34+1)&lt;&gt;MONTH(C34),"",C34+1))</f>
        <v/>
      </c>
      <c r="F34" s="105" t="str">
        <f>IFERROR(INDEX(Events!$A:$A,MATCH(E34,Events!$G:$G,0)),"")</f>
        <v/>
      </c>
    </row>
    <row r="35" spans="1:18" s="54" customFormat="1" ht="10.199999999999999" hidden="1" x14ac:dyDescent="0.2">
      <c r="C35" s="146" t="str">
        <f ca="1">IFERROR(INDEX(Events!$A:$A,MATCH(C34,Events!$H:$H,0)),"")</f>
        <v/>
      </c>
      <c r="D35" s="147" t="str">
        <f ca="1">IFERROR(INDEX(Events!#REF!,MATCH(C35,Events!A:A,0)),"")</f>
        <v/>
      </c>
      <c r="E35" s="146" t="str">
        <f ca="1">IFERROR(INDEX(Events!$A:$A,MATCH(E34,Events!$H:$H,0)),"")</f>
        <v/>
      </c>
      <c r="F35" s="147" t="str">
        <f ca="1">IFERROR(INDEX(Events!#REF!,MATCH(E35,Events!C:C,0)),"")</f>
        <v/>
      </c>
      <c r="J35" s="55"/>
      <c r="K35" s="55"/>
      <c r="L35" s="55"/>
      <c r="M35" s="55"/>
      <c r="N35" s="55"/>
      <c r="O35" s="55"/>
      <c r="P35" s="55"/>
      <c r="R35" s="101"/>
    </row>
    <row r="36" spans="1:18" s="54" customFormat="1" ht="10.199999999999999" hidden="1" x14ac:dyDescent="0.2">
      <c r="C36" s="146" t="str">
        <f ca="1">IFERROR(INDEX(Events!$A:$A,MATCH(C34,Events!$I:$I,0)),"")</f>
        <v/>
      </c>
      <c r="D36" s="147"/>
      <c r="E36" s="146" t="str">
        <f ca="1">IFERROR(INDEX(Events!$A:$A,MATCH(E34,Events!$I:$I,0)),"")</f>
        <v/>
      </c>
      <c r="F36" s="147"/>
      <c r="I36" s="142"/>
      <c r="J36" s="142"/>
      <c r="K36" s="142"/>
      <c r="L36" s="142"/>
      <c r="M36" s="142"/>
      <c r="N36" s="142"/>
      <c r="O36" s="142"/>
      <c r="P36" s="142"/>
      <c r="R36" s="101"/>
    </row>
    <row r="37" spans="1:18" s="54" customFormat="1" ht="10.199999999999999" hidden="1" x14ac:dyDescent="0.2">
      <c r="C37" s="180" t="str">
        <f ca="1">IFERROR(INDEX(Events!$A:$A,MATCH(C34,Events!$J:$J,0)),"")</f>
        <v/>
      </c>
      <c r="D37" s="181"/>
      <c r="E37" s="180" t="str">
        <f ca="1">IFERROR(INDEX(Events!$A:$A,MATCH(E34,Events!$J:$J,0)),"")</f>
        <v/>
      </c>
      <c r="F37" s="181"/>
      <c r="I37" s="142"/>
      <c r="J37" s="142"/>
      <c r="K37" s="142"/>
      <c r="L37" s="142"/>
      <c r="M37" s="142"/>
      <c r="N37" s="142"/>
      <c r="O37" s="142"/>
      <c r="P37" s="142"/>
      <c r="R37" s="101"/>
    </row>
    <row r="38" spans="1:18" ht="18" customHeight="1" x14ac:dyDescent="0.25">
      <c r="I38" s="142"/>
      <c r="J38" s="142"/>
      <c r="K38" s="142"/>
      <c r="L38" s="142"/>
      <c r="M38" s="142"/>
      <c r="N38" s="142"/>
      <c r="O38" s="142"/>
      <c r="P38" s="142"/>
    </row>
    <row r="39" spans="1:18" s="1" customFormat="1" ht="10.199999999999999" hidden="1" x14ac:dyDescent="0.2">
      <c r="C39" s="1" t="s">
        <v>1</v>
      </c>
      <c r="D39" s="6">
        <f>DATE(YEAR('Q1'!$D$7),MONTH('Q1'!$D$7)+10,1)</f>
        <v>45962</v>
      </c>
      <c r="R39" s="101"/>
    </row>
    <row r="40" spans="1:18" s="56" customFormat="1" ht="18" customHeight="1" x14ac:dyDescent="0.25">
      <c r="A40" s="143">
        <f>D39</f>
        <v>45962</v>
      </c>
      <c r="C40" s="144" t="s">
        <v>109</v>
      </c>
      <c r="D40" s="145"/>
      <c r="E40" s="144" t="s">
        <v>110</v>
      </c>
      <c r="F40" s="145"/>
      <c r="G40" s="144" t="s">
        <v>111</v>
      </c>
      <c r="H40" s="145"/>
      <c r="I40" s="144" t="s">
        <v>112</v>
      </c>
      <c r="J40" s="145"/>
      <c r="K40" s="144" t="s">
        <v>113</v>
      </c>
      <c r="L40" s="145"/>
      <c r="M40" s="144" t="s">
        <v>114</v>
      </c>
      <c r="N40" s="145"/>
      <c r="O40" s="144" t="s">
        <v>115</v>
      </c>
      <c r="P40" s="145"/>
      <c r="R40" s="96" t="s">
        <v>132</v>
      </c>
    </row>
    <row r="41" spans="1:18" s="1" customFormat="1" x14ac:dyDescent="0.2">
      <c r="A41" s="143"/>
      <c r="C41" s="50" t="str">
        <f>IF(WEEKDAY($D$39,1)=startday,$D$39,"")</f>
        <v/>
      </c>
      <c r="D41" s="52" t="str">
        <f>IFERROR(INDEX(Events!$A:$A,MATCH(C41,Events!$G:$G,0)),"")</f>
        <v/>
      </c>
      <c r="E41" s="50" t="str">
        <f>IF(C41="",IF(WEEKDAY($D$39,1)=MOD(startday,7)+1,$D$39,""),C41+1)</f>
        <v/>
      </c>
      <c r="F41" s="52" t="str">
        <f>IFERROR(INDEX(Events!$A:$A,MATCH(E41,Events!$G:$G,0)),"")</f>
        <v/>
      </c>
      <c r="G41" s="50" t="str">
        <f>IF(E41="",IF(WEEKDAY($D$39,1)=MOD(startday+1,7)+1,$D$39,""),E41+1)</f>
        <v/>
      </c>
      <c r="H41" s="52" t="str">
        <f>IFERROR(INDEX(Events!$A:$A,MATCH(G41,Events!$G:$G,0)),"")</f>
        <v/>
      </c>
      <c r="I41" s="50" t="str">
        <f>IF(G41="",IF(WEEKDAY($D$39,1)=MOD(startday+2,7)+1,$D$39,""),G41+1)</f>
        <v/>
      </c>
      <c r="J41" s="52" t="str">
        <f>IFERROR(INDEX(Events!$A:$A,MATCH(I41,Events!$G:$G,0)),"")</f>
        <v/>
      </c>
      <c r="K41" s="50" t="str">
        <f>IF(I41="",IF(WEEKDAY($D$39,1)=MOD(startday+3,7)+1,$D$39,""),I41+1)</f>
        <v/>
      </c>
      <c r="L41" s="52" t="str">
        <f>IFERROR(INDEX(Events!$A:$A,MATCH(K41,Events!$G:$G,0)),"")</f>
        <v/>
      </c>
      <c r="M41" s="50" t="str">
        <f>IF(K41="",IF(WEEKDAY($D$39,1)=MOD(startday+4,7)+1,$D$39,""),K41+1)</f>
        <v/>
      </c>
      <c r="N41" s="52" t="str">
        <f>IFERROR(INDEX(Events!$A:$A,MATCH(M41,Events!$G:$G,0)),"")</f>
        <v/>
      </c>
      <c r="O41" s="50">
        <f>IF(M41="",IF(WEEKDAY($D$39,1)=MOD(startday+5,7)+1,$D$39,""),M41+1)</f>
        <v>45962</v>
      </c>
      <c r="P41" s="52" t="str">
        <f>IFERROR(INDEX(Events!$A:$A,MATCH(O41,Events!$G:$G,0)),"")</f>
        <v/>
      </c>
      <c r="R41" s="183" t="s">
        <v>129</v>
      </c>
    </row>
    <row r="42" spans="1:18" s="1" customFormat="1" x14ac:dyDescent="0.2">
      <c r="A42" s="143"/>
      <c r="C42" s="104"/>
      <c r="D42" s="105"/>
      <c r="E42" s="104"/>
      <c r="F42" s="105"/>
      <c r="G42" s="104"/>
      <c r="H42" s="105"/>
      <c r="I42" s="104"/>
      <c r="J42" s="105"/>
      <c r="K42" s="104"/>
      <c r="L42" s="105"/>
      <c r="M42" s="104"/>
      <c r="N42" s="105"/>
      <c r="O42" s="221" t="s">
        <v>177</v>
      </c>
      <c r="P42" s="170"/>
      <c r="R42" s="184"/>
    </row>
    <row r="43" spans="1:18" s="54" customFormat="1" ht="10.199999999999999" x14ac:dyDescent="0.2">
      <c r="A43" s="143"/>
      <c r="C43" s="146" t="str">
        <f ca="1">IFERROR(INDEX(Events!$A:$A,MATCH(C41,Events!$H:$H,0)),"")</f>
        <v/>
      </c>
      <c r="D43" s="147"/>
      <c r="E43" s="146" t="str">
        <f ca="1">IFERROR(INDEX(Events!$A:$A,MATCH(E41,Events!$H:$H,0)),"")</f>
        <v/>
      </c>
      <c r="F43" s="147"/>
      <c r="G43" s="146" t="str">
        <f ca="1">IFERROR(INDEX(Events!$A:$A,MATCH(G41,Events!$H:$H,0)),"")</f>
        <v/>
      </c>
      <c r="H43" s="147"/>
      <c r="I43" s="146" t="str">
        <f ca="1">IFERROR(INDEX(Events!$A:$A,MATCH(I41,Events!$H:$H,0)),"")</f>
        <v/>
      </c>
      <c r="J43" s="147"/>
      <c r="K43" s="146" t="str">
        <f ca="1">IFERROR(INDEX(Events!$A:$A,MATCH(K41,Events!$H:$H,0)),"")</f>
        <v/>
      </c>
      <c r="L43" s="147"/>
      <c r="M43" s="146" t="str">
        <f ca="1">IFERROR(INDEX(Events!$A:$A,MATCH(M41,Events!$H:$H,0)),"")</f>
        <v/>
      </c>
      <c r="N43" s="147"/>
      <c r="O43" s="160" t="s">
        <v>121</v>
      </c>
      <c r="P43" s="161"/>
      <c r="R43" s="184"/>
    </row>
    <row r="44" spans="1:18" s="54" customFormat="1" ht="10.199999999999999" x14ac:dyDescent="0.2">
      <c r="A44" s="143"/>
      <c r="C44" s="146" t="str">
        <f ca="1">IFERROR(INDEX(Events!$A:$A,MATCH(C41,Events!$I:$I,0)),"")</f>
        <v/>
      </c>
      <c r="D44" s="147"/>
      <c r="E44" s="146" t="str">
        <f ca="1">IFERROR(INDEX(Events!$A:$A,MATCH(E41,Events!$I:$I,0)),"")</f>
        <v/>
      </c>
      <c r="F44" s="147"/>
      <c r="G44" s="146" t="str">
        <f ca="1">IFERROR(INDEX(Events!$A:$A,MATCH(G41,Events!$I:$I,0)),"")</f>
        <v/>
      </c>
      <c r="H44" s="147"/>
      <c r="I44" s="146" t="str">
        <f ca="1">IFERROR(INDEX(Events!$A:$A,MATCH(I41,Events!$I:$I,0)),"")</f>
        <v/>
      </c>
      <c r="J44" s="147"/>
      <c r="K44" s="146" t="str">
        <f ca="1">IFERROR(INDEX(Events!$A:$A,MATCH(K41,Events!$I:$I,0)),"")</f>
        <v/>
      </c>
      <c r="L44" s="147"/>
      <c r="M44" s="146" t="str">
        <f ca="1">IFERROR(INDEX(Events!$A:$A,MATCH(M41,Events!$I:$I,0)),"")</f>
        <v/>
      </c>
      <c r="N44" s="147"/>
      <c r="O44" s="163" t="s">
        <v>120</v>
      </c>
      <c r="P44" s="164"/>
      <c r="R44" s="184"/>
    </row>
    <row r="45" spans="1:18" s="54" customFormat="1" ht="10.199999999999999" x14ac:dyDescent="0.2">
      <c r="A45" s="143"/>
      <c r="C45" s="146" t="str">
        <f ca="1">IFERROR(INDEX(Events!$A:$A,MATCH(C41,Events!$J:$J,0)),"")</f>
        <v/>
      </c>
      <c r="D45" s="147"/>
      <c r="E45" s="146" t="str">
        <f ca="1">IFERROR(INDEX(Events!$A:$A,MATCH(E41,Events!$J:$J,0)),"")</f>
        <v/>
      </c>
      <c r="F45" s="147"/>
      <c r="G45" s="146" t="str">
        <f ca="1">IFERROR(INDEX(Events!$A:$A,MATCH(G41,Events!$J:$J,0)),"")</f>
        <v/>
      </c>
      <c r="H45" s="147"/>
      <c r="I45" s="146" t="str">
        <f ca="1">IFERROR(INDEX(Events!$A:$A,MATCH(I41,Events!$J:$J,0)),"")</f>
        <v/>
      </c>
      <c r="J45" s="147"/>
      <c r="K45" s="146" t="str">
        <f ca="1">IFERROR(INDEX(Events!$A:$A,MATCH(K41,Events!$J:$J,0)),"")</f>
        <v/>
      </c>
      <c r="L45" s="147"/>
      <c r="M45" s="146" t="str">
        <f ca="1">IFERROR(INDEX(Events!$A:$A,MATCH(M41,Events!$J:$J,0)),"")</f>
        <v/>
      </c>
      <c r="N45" s="147"/>
      <c r="O45" s="146" t="str">
        <f ca="1">IFERROR(INDEX(Events!$A:$A,MATCH(O41,Events!$J:$J,0)),"")</f>
        <v/>
      </c>
      <c r="P45" s="147"/>
      <c r="R45" s="184"/>
    </row>
    <row r="46" spans="1:18" s="1" customFormat="1" x14ac:dyDescent="0.2">
      <c r="A46" s="143"/>
      <c r="C46" s="50">
        <f>IF(O41="","",IF(MONTH(O41+1)&lt;&gt;MONTH(O41),"",O41+1))</f>
        <v>45963</v>
      </c>
      <c r="D46" s="52" t="str">
        <f>IFERROR(INDEX(Events!$A:$A,MATCH(C46,Events!$G:$G,0)),"")</f>
        <v>Daylight Saving</v>
      </c>
      <c r="E46" s="107">
        <f>IF(C46="","",IF(MONTH(C46+1)&lt;&gt;MONTH(C46),"",C46+1))</f>
        <v>45964</v>
      </c>
      <c r="F46" s="108" t="s">
        <v>141</v>
      </c>
      <c r="G46" s="50">
        <f>IF(E46="","",IF(MONTH(E46+1)&lt;&gt;MONTH(E46),"",E46+1))</f>
        <v>45965</v>
      </c>
      <c r="H46" s="97" t="s">
        <v>142</v>
      </c>
      <c r="I46" s="50">
        <f>IF(G46="","",IF(MONTH(G46+1)&lt;&gt;MONTH(G46),"",G46+1))</f>
        <v>45966</v>
      </c>
      <c r="J46" s="97" t="s">
        <v>143</v>
      </c>
      <c r="K46" s="50">
        <f>IF(I46="","",IF(MONTH(I46+1)&lt;&gt;MONTH(I46),"",I46+1))</f>
        <v>45967</v>
      </c>
      <c r="L46" s="97" t="s">
        <v>144</v>
      </c>
      <c r="M46" s="50">
        <f>IF(K46="","",IF(MONTH(K46+1)&lt;&gt;MONTH(K46),"",K46+1))</f>
        <v>45968</v>
      </c>
      <c r="N46" s="97" t="s">
        <v>145</v>
      </c>
      <c r="O46" s="50">
        <f>IF(M46="","",IF(MONTH(M46+1)&lt;&gt;MONTH(M46),"",M46+1))</f>
        <v>45969</v>
      </c>
      <c r="P46" s="52" t="str">
        <f>IFERROR(INDEX(Events!$A:$A,MATCH(O46,Events!$G:$G,0)),"")</f>
        <v/>
      </c>
      <c r="R46" s="150" t="s">
        <v>130</v>
      </c>
    </row>
    <row r="47" spans="1:18" s="1" customFormat="1" ht="10.199999999999999" x14ac:dyDescent="0.2">
      <c r="A47" s="143"/>
      <c r="C47" s="168"/>
      <c r="D47" s="169"/>
      <c r="E47" s="156" t="s">
        <v>177</v>
      </c>
      <c r="F47" s="157"/>
      <c r="G47" s="156" t="s">
        <v>177</v>
      </c>
      <c r="H47" s="157"/>
      <c r="I47" s="156" t="s">
        <v>177</v>
      </c>
      <c r="J47" s="157"/>
      <c r="K47" s="156" t="s">
        <v>177</v>
      </c>
      <c r="L47" s="157"/>
      <c r="M47" s="156" t="s">
        <v>177</v>
      </c>
      <c r="N47" s="157"/>
      <c r="O47" s="146" t="str">
        <f ca="1">IFERROR(INDEX(Events!$A:$A,MATCH(O46,Events!$H:$H,0)),"")</f>
        <v/>
      </c>
      <c r="P47" s="147"/>
      <c r="R47" s="150"/>
    </row>
    <row r="48" spans="1:18" s="54" customFormat="1" ht="10.199999999999999" x14ac:dyDescent="0.2">
      <c r="A48" s="143"/>
      <c r="C48" s="171"/>
      <c r="D48" s="172"/>
      <c r="E48" s="160" t="s">
        <v>121</v>
      </c>
      <c r="F48" s="161"/>
      <c r="G48" s="160" t="s">
        <v>121</v>
      </c>
      <c r="H48" s="161"/>
      <c r="I48" s="160" t="s">
        <v>121</v>
      </c>
      <c r="J48" s="161"/>
      <c r="K48" s="160" t="s">
        <v>121</v>
      </c>
      <c r="L48" s="161"/>
      <c r="M48" s="160" t="s">
        <v>121</v>
      </c>
      <c r="N48" s="161"/>
      <c r="O48" s="146" t="str">
        <f ca="1">IFERROR(INDEX(Events!$A:$A,MATCH(O46,Events!$H:$H,0)),"")</f>
        <v/>
      </c>
      <c r="P48" s="147"/>
      <c r="R48" s="150"/>
    </row>
    <row r="49" spans="1:18" s="54" customFormat="1" ht="10.199999999999999" x14ac:dyDescent="0.2">
      <c r="A49" s="143"/>
      <c r="C49" s="171"/>
      <c r="D49" s="172"/>
      <c r="E49" s="163" t="s">
        <v>120</v>
      </c>
      <c r="F49" s="164"/>
      <c r="G49" s="163" t="s">
        <v>120</v>
      </c>
      <c r="H49" s="164"/>
      <c r="I49" s="163" t="s">
        <v>120</v>
      </c>
      <c r="J49" s="164"/>
      <c r="K49" s="163" t="s">
        <v>120</v>
      </c>
      <c r="L49" s="164"/>
      <c r="M49" s="163" t="s">
        <v>120</v>
      </c>
      <c r="N49" s="164"/>
      <c r="O49" s="146" t="str">
        <f ca="1">IFERROR(INDEX(Events!$A:$A,MATCH(O46,Events!$I:$I,0)),"")</f>
        <v/>
      </c>
      <c r="P49" s="147"/>
      <c r="R49" s="150"/>
    </row>
    <row r="50" spans="1:18" s="54" customFormat="1" ht="10.199999999999999" x14ac:dyDescent="0.2">
      <c r="A50" s="143"/>
      <c r="C50" s="146" t="str">
        <f ca="1">IFERROR(INDEX(Events!$A:$A,MATCH(C46,Events!$J:$J,0)),"")</f>
        <v/>
      </c>
      <c r="D50" s="147"/>
      <c r="E50" s="191" t="s">
        <v>182</v>
      </c>
      <c r="F50" s="192"/>
      <c r="G50" s="158" t="s">
        <v>175</v>
      </c>
      <c r="H50" s="216"/>
      <c r="I50" s="146" t="str">
        <f ca="1">IFERROR(INDEX(Events!$A:$A,MATCH(I46,Events!$J:$J,0)),"")</f>
        <v/>
      </c>
      <c r="J50" s="147"/>
      <c r="K50" s="146" t="str">
        <f ca="1">IFERROR(INDEX(Events!$A:$A,MATCH(K46,Events!$J:$J,0)),"")</f>
        <v/>
      </c>
      <c r="L50" s="147"/>
      <c r="M50" s="146" t="str">
        <f ca="1">IFERROR(INDEX(Events!$A:$A,MATCH(M46,Events!$J:$J,0)),"")</f>
        <v/>
      </c>
      <c r="N50" s="147"/>
      <c r="O50" s="146" t="str">
        <f ca="1">IFERROR(INDEX(Events!$A:$A,MATCH(O46,Events!$J:$J,0)),"")</f>
        <v/>
      </c>
      <c r="P50" s="147"/>
      <c r="R50" s="150"/>
    </row>
    <row r="51" spans="1:18" s="1" customFormat="1" x14ac:dyDescent="0.2">
      <c r="A51" s="143"/>
      <c r="C51" s="50">
        <f>IF(O46="","",IF(MONTH(O46+1)&lt;&gt;MONTH(O46),"",O46+1))</f>
        <v>45970</v>
      </c>
      <c r="D51" s="52" t="str">
        <f>IFERROR(INDEX(Events!$A:$A,MATCH(C51,Events!$G:$G,0)),"")</f>
        <v/>
      </c>
      <c r="E51" s="50">
        <f>IF(C51="","",IF(MONTH(C51+1)&lt;&gt;MONTH(C51),"",C51+1))</f>
        <v>45971</v>
      </c>
      <c r="F51" s="97" t="s">
        <v>146</v>
      </c>
      <c r="G51" s="50">
        <f>IF(E51="","",IF(MONTH(E51+1)&lt;&gt;MONTH(E51),"",E51+1))</f>
        <v>45972</v>
      </c>
      <c r="H51" s="97" t="s">
        <v>147</v>
      </c>
      <c r="I51" s="50">
        <f>IF(G51="","",IF(MONTH(G51+1)&lt;&gt;MONTH(G51),"",G51+1))</f>
        <v>45973</v>
      </c>
      <c r="J51" s="97" t="s">
        <v>151</v>
      </c>
      <c r="K51" s="50">
        <f>IF(I51="","",IF(MONTH(I51+1)&lt;&gt;MONTH(I51),"",I51+1))</f>
        <v>45974</v>
      </c>
      <c r="L51" s="97" t="s">
        <v>153</v>
      </c>
      <c r="M51" s="50">
        <f>IF(K51="","",IF(MONTH(K51+1)&lt;&gt;MONTH(K51),"",K51+1))</f>
        <v>45975</v>
      </c>
      <c r="N51" s="97" t="s">
        <v>154</v>
      </c>
      <c r="O51" s="50">
        <f>IF(M51="","",IF(MONTH(M51+1)&lt;&gt;MONTH(M51),"",M51+1))</f>
        <v>45976</v>
      </c>
      <c r="P51" s="52" t="str">
        <f>IFERROR(INDEX(Events!$A:$A,MATCH(O51,Events!$G:$G,0)),"")</f>
        <v/>
      </c>
      <c r="R51" s="150" t="s">
        <v>131</v>
      </c>
    </row>
    <row r="52" spans="1:18" s="1" customFormat="1" ht="10.199999999999999" x14ac:dyDescent="0.2">
      <c r="A52" s="143"/>
      <c r="C52" s="168"/>
      <c r="D52" s="169"/>
      <c r="E52" s="156" t="s">
        <v>177</v>
      </c>
      <c r="F52" s="157"/>
      <c r="G52" s="156" t="s">
        <v>177</v>
      </c>
      <c r="H52" s="157"/>
      <c r="I52" s="156" t="s">
        <v>177</v>
      </c>
      <c r="J52" s="157"/>
      <c r="K52" s="156" t="s">
        <v>177</v>
      </c>
      <c r="L52" s="157"/>
      <c r="M52" s="156" t="s">
        <v>177</v>
      </c>
      <c r="N52" s="157"/>
      <c r="O52" s="146" t="str">
        <f ca="1">IFERROR(INDEX(Events!$A:$A,MATCH(O51,Events!$H:$H,0)),"")</f>
        <v/>
      </c>
      <c r="P52" s="147"/>
      <c r="R52" s="150"/>
    </row>
    <row r="53" spans="1:18" s="54" customFormat="1" ht="10.199999999999999" x14ac:dyDescent="0.2">
      <c r="A53" s="143"/>
      <c r="C53" s="171"/>
      <c r="D53" s="172"/>
      <c r="E53" s="160" t="s">
        <v>121</v>
      </c>
      <c r="F53" s="161"/>
      <c r="G53" s="160" t="s">
        <v>121</v>
      </c>
      <c r="H53" s="161"/>
      <c r="I53" s="160" t="s">
        <v>121</v>
      </c>
      <c r="J53" s="161"/>
      <c r="K53" s="160" t="s">
        <v>121</v>
      </c>
      <c r="L53" s="161"/>
      <c r="M53" s="160" t="s">
        <v>121</v>
      </c>
      <c r="N53" s="161"/>
      <c r="O53" s="146" t="str">
        <f ca="1">IFERROR(INDEX(Events!$A:$A,MATCH(O51,Events!$H:$H,0)),"")</f>
        <v/>
      </c>
      <c r="P53" s="147"/>
      <c r="R53" s="150"/>
    </row>
    <row r="54" spans="1:18" s="54" customFormat="1" ht="10.199999999999999" x14ac:dyDescent="0.2">
      <c r="A54" s="143"/>
      <c r="C54" s="171"/>
      <c r="D54" s="172"/>
      <c r="E54" s="163" t="s">
        <v>120</v>
      </c>
      <c r="F54" s="164"/>
      <c r="G54" s="163" t="s">
        <v>120</v>
      </c>
      <c r="H54" s="164"/>
      <c r="I54" s="163" t="s">
        <v>120</v>
      </c>
      <c r="J54" s="164"/>
      <c r="K54" s="163" t="s">
        <v>120</v>
      </c>
      <c r="L54" s="164"/>
      <c r="M54" s="163" t="s">
        <v>120</v>
      </c>
      <c r="N54" s="164"/>
      <c r="O54" s="146" t="str">
        <f ca="1">IFERROR(INDEX(Events!$A:$A,MATCH(O51,Events!$I:$I,0)),"")</f>
        <v/>
      </c>
      <c r="P54" s="147"/>
      <c r="R54" s="150"/>
    </row>
    <row r="55" spans="1:18" s="54" customFormat="1" ht="10.199999999999999" x14ac:dyDescent="0.2">
      <c r="A55" s="143"/>
      <c r="C55" s="146" t="str">
        <f ca="1">IFERROR(INDEX(Events!$A:$A,MATCH(C51,Events!$J:$J,0)),"")</f>
        <v/>
      </c>
      <c r="D55" s="147"/>
      <c r="E55" s="166" t="s">
        <v>119</v>
      </c>
      <c r="F55" s="167" t="str">
        <f>IFERROR(INDEX([1]Events!#REF!,MATCH(E55,[1]Events!#REF!,0)),"")</f>
        <v/>
      </c>
      <c r="G55" s="196" t="s">
        <v>162</v>
      </c>
      <c r="H55" s="197" t="str">
        <f>IFERROR(INDEX([1]Events!#REF!,MATCH(G55,[1]Events!#REF!,0)),"")</f>
        <v/>
      </c>
      <c r="I55" s="146" t="str">
        <f ca="1">IFERROR(INDEX(Events!$A:$A,MATCH(I51,Events!$J:$J,0)),"")</f>
        <v/>
      </c>
      <c r="J55" s="147"/>
      <c r="K55" s="146" t="str">
        <f ca="1">IFERROR(INDEX(Events!$A:$A,MATCH(K51,Events!$J:$J,0)),"")</f>
        <v/>
      </c>
      <c r="L55" s="147"/>
      <c r="M55" s="146" t="str">
        <f ca="1">IFERROR(INDEX(Events!$A:$A,MATCH(M51,Events!$J:$J,0)),"")</f>
        <v/>
      </c>
      <c r="N55" s="147"/>
      <c r="O55" s="146" t="str">
        <f ca="1">IFERROR(INDEX(Events!$A:$A,MATCH(O51,Events!$J:$J,0)),"")</f>
        <v/>
      </c>
      <c r="P55" s="147"/>
      <c r="R55" s="150"/>
    </row>
    <row r="56" spans="1:18" s="1" customFormat="1" x14ac:dyDescent="0.2">
      <c r="A56" s="143"/>
      <c r="C56" s="50">
        <f>IF(O51="","",IF(MONTH(O51+1)&lt;&gt;MONTH(O51),"",O51+1))</f>
        <v>45977</v>
      </c>
      <c r="D56" s="52" t="str">
        <f>IFERROR(INDEX(Events!$A:$A,MATCH(C56,Events!$G:$G,0)),"")</f>
        <v/>
      </c>
      <c r="E56" s="50">
        <f>IF(C56="","",IF(MONTH(C56+1)&lt;&gt;MONTH(C56),"",C56+1))</f>
        <v>45978</v>
      </c>
      <c r="F56" s="52" t="str">
        <f>IFERROR(INDEX(Events!$A:$A,MATCH(E56,Events!$G:$G,0)),"")</f>
        <v/>
      </c>
      <c r="G56" s="50">
        <f>IF(E56="","",IF(MONTH(E56+1)&lt;&gt;MONTH(E56),"",E56+1))</f>
        <v>45979</v>
      </c>
      <c r="H56" s="52" t="str">
        <f>IFERROR(INDEX(Events!$A:$A,MATCH(G56,Events!$G:$G,0)),"")</f>
        <v/>
      </c>
      <c r="I56" s="50">
        <f>IF(G56="","",IF(MONTH(G56+1)&lt;&gt;MONTH(G56),"",G56+1))</f>
        <v>45980</v>
      </c>
      <c r="J56" s="52" t="str">
        <f>IFERROR(INDEX(Events!$A:$A,MATCH(I56,Events!$G:$G,0)),"")</f>
        <v/>
      </c>
      <c r="K56" s="50">
        <f>IF(I56="","",IF(MONTH(I56+1)&lt;&gt;MONTH(I56),"",I56+1))</f>
        <v>45981</v>
      </c>
      <c r="L56" s="52" t="str">
        <f>IFERROR(INDEX(Events!$A:$A,MATCH(K56,Events!$G:$G,0)),"")</f>
        <v/>
      </c>
      <c r="M56" s="50">
        <f>IF(K56="","",IF(MONTH(K56+1)&lt;&gt;MONTH(K56),"",K56+1))</f>
        <v>45982</v>
      </c>
      <c r="N56" s="52" t="str">
        <f>IFERROR(INDEX(Events!$A:$A,MATCH(M56,Events!$G:$G,0)),"")</f>
        <v/>
      </c>
      <c r="O56" s="50">
        <f>IF(M56="","",IF(MONTH(M56+1)&lt;&gt;MONTH(M56),"",M56+1))</f>
        <v>45983</v>
      </c>
      <c r="P56" s="52" t="str">
        <f>IFERROR(INDEX(Events!$A:$A,MATCH(O56,Events!$G:$G,0)),"")</f>
        <v/>
      </c>
      <c r="R56" s="150" t="s">
        <v>133</v>
      </c>
    </row>
    <row r="57" spans="1:18" s="1" customFormat="1" ht="10.199999999999999" x14ac:dyDescent="0.2">
      <c r="A57" s="143"/>
      <c r="C57" s="168"/>
      <c r="D57" s="169"/>
      <c r="E57" s="156" t="s">
        <v>177</v>
      </c>
      <c r="F57" s="157"/>
      <c r="G57" s="156" t="s">
        <v>177</v>
      </c>
      <c r="H57" s="157"/>
      <c r="I57" s="156" t="s">
        <v>177</v>
      </c>
      <c r="J57" s="157"/>
      <c r="K57" s="156" t="s">
        <v>177</v>
      </c>
      <c r="L57" s="157"/>
      <c r="M57" s="156" t="s">
        <v>177</v>
      </c>
      <c r="N57" s="157"/>
      <c r="O57" s="146" t="str">
        <f ca="1">IFERROR(INDEX(Events!$A:$A,MATCH(O56,Events!$H:$H,0)),"")</f>
        <v/>
      </c>
      <c r="P57" s="147"/>
      <c r="R57" s="150"/>
    </row>
    <row r="58" spans="1:18" s="54" customFormat="1" ht="10.199999999999999" x14ac:dyDescent="0.2">
      <c r="A58" s="143"/>
      <c r="C58" s="171"/>
      <c r="D58" s="172"/>
      <c r="E58" s="160" t="s">
        <v>121</v>
      </c>
      <c r="F58" s="161"/>
      <c r="G58" s="160" t="s">
        <v>121</v>
      </c>
      <c r="H58" s="161"/>
      <c r="I58" s="160" t="s">
        <v>121</v>
      </c>
      <c r="J58" s="161"/>
      <c r="K58" s="160" t="s">
        <v>121</v>
      </c>
      <c r="L58" s="161"/>
      <c r="M58" s="160" t="s">
        <v>121</v>
      </c>
      <c r="N58" s="161"/>
      <c r="O58" s="146" t="str">
        <f ca="1">IFERROR(INDEX(Events!$A:$A,MATCH(O56,Events!$H:$H,0)),"")</f>
        <v/>
      </c>
      <c r="P58" s="147"/>
      <c r="R58" s="150"/>
    </row>
    <row r="59" spans="1:18" s="54" customFormat="1" ht="10.199999999999999" x14ac:dyDescent="0.2">
      <c r="A59" s="143"/>
      <c r="C59" s="171"/>
      <c r="D59" s="172"/>
      <c r="E59" s="163" t="s">
        <v>120</v>
      </c>
      <c r="F59" s="164"/>
      <c r="G59" s="163" t="s">
        <v>120</v>
      </c>
      <c r="H59" s="164"/>
      <c r="I59" s="163" t="s">
        <v>120</v>
      </c>
      <c r="J59" s="164"/>
      <c r="K59" s="163" t="s">
        <v>120</v>
      </c>
      <c r="L59" s="164"/>
      <c r="M59" s="163" t="s">
        <v>120</v>
      </c>
      <c r="N59" s="164"/>
      <c r="O59" s="146" t="str">
        <f ca="1">IFERROR(INDEX(Events!$A:$A,MATCH(O56,Events!$I:$I,0)),"")</f>
        <v/>
      </c>
      <c r="P59" s="147"/>
      <c r="R59" s="150"/>
    </row>
    <row r="60" spans="1:18" s="54" customFormat="1" ht="10.199999999999999" x14ac:dyDescent="0.2">
      <c r="A60" s="143"/>
      <c r="C60" s="146" t="str">
        <f ca="1">IFERROR(INDEX(Events!$A:$A,MATCH(C56,Events!$J:$J,0)),"")</f>
        <v/>
      </c>
      <c r="D60" s="147"/>
      <c r="E60" s="146" t="str">
        <f ca="1">IFERROR(INDEX(Events!$A:$A,MATCH(E56,Events!$J:$J,0)),"")</f>
        <v/>
      </c>
      <c r="F60" s="147"/>
      <c r="G60" s="146" t="str">
        <f ca="1">IFERROR(INDEX(Events!$A:$A,MATCH(G56,Events!$J:$J,0)),"")</f>
        <v/>
      </c>
      <c r="H60" s="147"/>
      <c r="I60" s="146" t="str">
        <f ca="1">IFERROR(INDEX(Events!$A:$A,MATCH(I56,Events!$J:$J,0)),"")</f>
        <v/>
      </c>
      <c r="J60" s="147"/>
      <c r="K60" s="146" t="str">
        <f ca="1">IFERROR(INDEX(Events!$A:$A,MATCH(K56,Events!$J:$J,0)),"")</f>
        <v/>
      </c>
      <c r="L60" s="147"/>
      <c r="M60" s="146" t="str">
        <f ca="1">IFERROR(INDEX(Events!$A:$A,MATCH(M56,Events!$J:$J,0)),"")</f>
        <v/>
      </c>
      <c r="N60" s="147"/>
      <c r="O60" s="146" t="str">
        <f ca="1">IFERROR(INDEX(Events!$A:$A,MATCH(O56,Events!$J:$J,0)),"")</f>
        <v/>
      </c>
      <c r="P60" s="147"/>
      <c r="R60" s="150"/>
    </row>
    <row r="61" spans="1:18" x14ac:dyDescent="0.25">
      <c r="A61" s="143"/>
      <c r="C61" s="50">
        <f>IF(O56="","",IF(MONTH(O56+1)&lt;&gt;MONTH(O56),"",O56+1))</f>
        <v>45984</v>
      </c>
      <c r="D61" s="52" t="str">
        <f>IFERROR(INDEX(Events!$A:$A,MATCH(C61,Events!$G:$G,0)),"")</f>
        <v/>
      </c>
      <c r="E61" s="50">
        <f>IF(C61="","",IF(MONTH(C61+1)&lt;&gt;MONTH(C61),"",C61+1))</f>
        <v>45985</v>
      </c>
      <c r="F61" s="52" t="str">
        <f>IFERROR(INDEX(Events!$A:$A,MATCH(E61,Events!$G:$G,0)),"")</f>
        <v/>
      </c>
      <c r="G61" s="50">
        <f>IF(E61="","",IF(MONTH(E61+1)&lt;&gt;MONTH(E61),"",E61+1))</f>
        <v>45986</v>
      </c>
      <c r="H61" s="52" t="str">
        <f>IFERROR(INDEX(Events!$A:$A,MATCH(G61,Events!$G:$G,0)),"")</f>
        <v/>
      </c>
      <c r="I61" s="50">
        <f>IF(G61="","",IF(MONTH(G61+1)&lt;&gt;MONTH(G61),"",G61+1))</f>
        <v>45987</v>
      </c>
      <c r="J61" s="52" t="str">
        <f>IFERROR(INDEX(Events!$A:$A,MATCH(I61,Events!$G:$G,0)),"")</f>
        <v/>
      </c>
      <c r="K61" s="50">
        <f>IF(I61="","",IF(MONTH(I61+1)&lt;&gt;MONTH(I61),"",I61+1))</f>
        <v>45988</v>
      </c>
      <c r="L61" s="52" t="str">
        <f>IFERROR(INDEX(Events!$A:$A,MATCH(K61,Events!$G:$G,0)),"")</f>
        <v>Thanksgiving</v>
      </c>
      <c r="M61" s="50">
        <f>IF(K61="","",IF(MONTH(K61+1)&lt;&gt;MONTH(K61),"",K61+1))</f>
        <v>45989</v>
      </c>
      <c r="N61" s="52"/>
      <c r="O61" s="50">
        <f>IF(M61="","",IF(MONTH(M61+1)&lt;&gt;MONTH(M61),"",M61+1))</f>
        <v>45990</v>
      </c>
      <c r="P61" s="52" t="str">
        <f>IFERROR(INDEX(Events!$A:$A,MATCH(O61,Events!$G:$G,0)),"")</f>
        <v/>
      </c>
      <c r="R61" s="150" t="s">
        <v>134</v>
      </c>
    </row>
    <row r="62" spans="1:18" x14ac:dyDescent="0.25">
      <c r="A62" s="143"/>
      <c r="C62" s="168"/>
      <c r="D62" s="169"/>
      <c r="E62" s="156" t="s">
        <v>177</v>
      </c>
      <c r="F62" s="157"/>
      <c r="G62" s="156" t="s">
        <v>177</v>
      </c>
      <c r="H62" s="157"/>
      <c r="I62" s="156" t="s">
        <v>177</v>
      </c>
      <c r="J62" s="157"/>
      <c r="K62" s="163"/>
      <c r="L62" s="164"/>
      <c r="M62" s="156" t="s">
        <v>177</v>
      </c>
      <c r="N62" s="157"/>
      <c r="O62" s="221" t="s">
        <v>177</v>
      </c>
      <c r="P62" s="170"/>
      <c r="R62" s="150"/>
    </row>
    <row r="63" spans="1:18" s="54" customFormat="1" ht="10.199999999999999" x14ac:dyDescent="0.2">
      <c r="A63" s="143"/>
      <c r="C63" s="171"/>
      <c r="D63" s="172"/>
      <c r="E63" s="160" t="s">
        <v>121</v>
      </c>
      <c r="F63" s="161"/>
      <c r="G63" s="160" t="s">
        <v>121</v>
      </c>
      <c r="H63" s="161"/>
      <c r="I63" s="160" t="s">
        <v>121</v>
      </c>
      <c r="J63" s="161"/>
      <c r="K63" s="153" t="s">
        <v>176</v>
      </c>
      <c r="L63" s="154"/>
      <c r="M63" s="160" t="s">
        <v>121</v>
      </c>
      <c r="N63" s="161"/>
      <c r="O63" s="160" t="s">
        <v>121</v>
      </c>
      <c r="P63" s="161"/>
      <c r="R63" s="150"/>
    </row>
    <row r="64" spans="1:18" s="54" customFormat="1" ht="10.199999999999999" x14ac:dyDescent="0.2">
      <c r="A64" s="143"/>
      <c r="C64" s="171"/>
      <c r="D64" s="172"/>
      <c r="E64" s="163" t="s">
        <v>120</v>
      </c>
      <c r="F64" s="164"/>
      <c r="G64" s="163" t="s">
        <v>120</v>
      </c>
      <c r="H64" s="164"/>
      <c r="I64" s="163" t="s">
        <v>120</v>
      </c>
      <c r="J64" s="164"/>
      <c r="K64" s="163"/>
      <c r="L64" s="164"/>
      <c r="M64" s="163" t="s">
        <v>120</v>
      </c>
      <c r="N64" s="164"/>
      <c r="O64" s="163" t="s">
        <v>120</v>
      </c>
      <c r="P64" s="164"/>
      <c r="R64" s="150"/>
    </row>
    <row r="65" spans="1:18" s="54" customFormat="1" ht="10.199999999999999" x14ac:dyDescent="0.2">
      <c r="A65" s="143"/>
      <c r="C65" s="146" t="str">
        <f ca="1">IFERROR(INDEX(Events!$A:$A,MATCH(C61,Events!$J:$J,0)),"")</f>
        <v/>
      </c>
      <c r="D65" s="147"/>
      <c r="E65" s="146" t="str">
        <f ca="1">IFERROR(INDEX(Events!$A:$A,MATCH(E61,Events!$J:$J,0)),"")</f>
        <v/>
      </c>
      <c r="F65" s="147"/>
      <c r="G65" s="180" t="str">
        <f ca="1">IFERROR(INDEX(Events!$A:$A,MATCH(G61,Events!$J:$J,0)),"")</f>
        <v/>
      </c>
      <c r="H65" s="181"/>
      <c r="I65" s="180" t="str">
        <f ca="1">IFERROR(INDEX(Events!$A:$A,MATCH(I61,Events!$J:$J,0)),"")</f>
        <v/>
      </c>
      <c r="J65" s="181"/>
      <c r="K65" s="180" t="str">
        <f ca="1">IFERROR(INDEX(Events!$A:$A,MATCH(K61,Events!$J:$J,0)),"")</f>
        <v/>
      </c>
      <c r="L65" s="181"/>
      <c r="M65" s="180" t="str">
        <f ca="1">IFERROR(INDEX(Events!$A:$A,MATCH(M61,Events!$J:$J,0)),"")</f>
        <v/>
      </c>
      <c r="N65" s="181"/>
      <c r="O65" s="180" t="str">
        <f ca="1">IFERROR(INDEX(Events!$A:$A,MATCH(O61,Events!$J:$J,0)),"")</f>
        <v/>
      </c>
      <c r="P65" s="181"/>
      <c r="R65" s="150"/>
    </row>
    <row r="66" spans="1:18" x14ac:dyDescent="0.25">
      <c r="C66" s="50">
        <f>IF(O61="","",IF(MONTH(O61+1)&lt;&gt;MONTH(O61),"",O61+1))</f>
        <v>45991</v>
      </c>
      <c r="D66" s="52" t="str">
        <f>IFERROR(INDEX(Events!$A:$A,MATCH(C66,Events!$G:$G,0)),"")</f>
        <v/>
      </c>
      <c r="E66" s="50" t="str">
        <f>IF(C66="","",IF(MONTH(C66+1)&lt;&gt;MONTH(C66),"",C66+1))</f>
        <v/>
      </c>
      <c r="F66" s="52" t="str">
        <f>IFERROR(INDEX(Events!$A:$A,MATCH(E66,Events!$G:$G,0)),"")</f>
        <v/>
      </c>
    </row>
    <row r="67" spans="1:18" x14ac:dyDescent="0.25">
      <c r="C67" s="146" t="str">
        <f ca="1">IFERROR(INDEX(Events!$A:$A,MATCH(C66,Events!$H:$H,0)),"")</f>
        <v/>
      </c>
      <c r="D67" s="147"/>
      <c r="E67" s="104"/>
      <c r="F67" s="105"/>
    </row>
    <row r="68" spans="1:18" s="54" customFormat="1" ht="10.199999999999999" x14ac:dyDescent="0.2">
      <c r="C68" s="146" t="str">
        <f ca="1">IFERROR(INDEX(Events!$A:$A,MATCH(C66,Events!$H:$H,0)),"")</f>
        <v/>
      </c>
      <c r="D68" s="147"/>
      <c r="E68" s="146" t="str">
        <f ca="1">IFERROR(INDEX(Events!$A:$A,MATCH(E66,Events!$H:$H,0)),"")</f>
        <v/>
      </c>
      <c r="F68" s="147"/>
      <c r="J68" s="55"/>
      <c r="K68" s="55"/>
      <c r="L68" s="55"/>
      <c r="M68" s="55"/>
      <c r="N68" s="55"/>
      <c r="O68" s="55"/>
      <c r="P68" s="55"/>
      <c r="R68" s="101"/>
    </row>
    <row r="69" spans="1:18" s="54" customFormat="1" ht="10.199999999999999" x14ac:dyDescent="0.2">
      <c r="C69" s="146" t="str">
        <f ca="1">IFERROR(INDEX(Events!$A:$A,MATCH(C66,Events!$I:$I,0)),"")</f>
        <v/>
      </c>
      <c r="D69" s="147"/>
      <c r="E69" s="146" t="str">
        <f ca="1">IFERROR(INDEX(Events!$A:$A,MATCH(E66,Events!$I:$I,0)),"")</f>
        <v/>
      </c>
      <c r="F69" s="147"/>
      <c r="I69" s="142"/>
      <c r="J69" s="142"/>
      <c r="K69" s="142"/>
      <c r="L69" s="142"/>
      <c r="M69" s="142"/>
      <c r="N69" s="142"/>
      <c r="O69" s="142"/>
      <c r="P69" s="142"/>
      <c r="R69" s="101"/>
    </row>
    <row r="70" spans="1:18" s="54" customFormat="1" ht="10.199999999999999" x14ac:dyDescent="0.2">
      <c r="C70" s="180" t="str">
        <f ca="1">IFERROR(INDEX(Events!$A:$A,MATCH(C66,Events!$J:$J,0)),"")</f>
        <v/>
      </c>
      <c r="D70" s="181"/>
      <c r="E70" s="180" t="str">
        <f ca="1">IFERROR(INDEX(Events!$A:$A,MATCH(E66,Events!$J:$J,0)),"")</f>
        <v/>
      </c>
      <c r="F70" s="181"/>
      <c r="I70" s="142"/>
      <c r="J70" s="142"/>
      <c r="K70" s="142"/>
      <c r="L70" s="142"/>
      <c r="M70" s="142"/>
      <c r="N70" s="142"/>
      <c r="O70" s="142"/>
      <c r="P70" s="142"/>
      <c r="R70" s="101"/>
    </row>
    <row r="71" spans="1:18" ht="18" customHeight="1" x14ac:dyDescent="0.25">
      <c r="I71" s="142"/>
      <c r="J71" s="142"/>
      <c r="K71" s="142"/>
      <c r="L71" s="142"/>
      <c r="M71" s="142"/>
      <c r="N71" s="142"/>
      <c r="O71" s="142"/>
      <c r="P71" s="142"/>
    </row>
    <row r="72" spans="1:18" hidden="1" x14ac:dyDescent="0.25">
      <c r="C72" s="1" t="s">
        <v>1</v>
      </c>
      <c r="D72" s="6">
        <f>DATE(YEAR('Q1'!$D$7),MONTH('Q1'!$D$7)+11,1)</f>
        <v>45992</v>
      </c>
      <c r="E72" s="1"/>
      <c r="F72" s="1"/>
      <c r="G72" s="1"/>
      <c r="H72" s="1"/>
      <c r="I72" s="1"/>
      <c r="J72" s="1"/>
      <c r="K72" s="1"/>
      <c r="L72" s="1"/>
      <c r="M72" s="1"/>
      <c r="N72" s="1"/>
      <c r="O72" s="1"/>
      <c r="P72" s="1"/>
    </row>
    <row r="73" spans="1:18" s="56" customFormat="1" ht="18" customHeight="1" x14ac:dyDescent="0.25">
      <c r="A73" s="143">
        <f>D72</f>
        <v>45992</v>
      </c>
      <c r="C73" s="144" t="s">
        <v>109</v>
      </c>
      <c r="D73" s="145"/>
      <c r="E73" s="144" t="s">
        <v>110</v>
      </c>
      <c r="F73" s="145"/>
      <c r="G73" s="144" t="s">
        <v>111</v>
      </c>
      <c r="H73" s="145"/>
      <c r="I73" s="144" t="s">
        <v>112</v>
      </c>
      <c r="J73" s="145"/>
      <c r="K73" s="144" t="s">
        <v>113</v>
      </c>
      <c r="L73" s="145"/>
      <c r="M73" s="144" t="s">
        <v>114</v>
      </c>
      <c r="N73" s="145"/>
      <c r="O73" s="144" t="s">
        <v>115</v>
      </c>
      <c r="P73" s="145"/>
      <c r="R73" s="96" t="s">
        <v>132</v>
      </c>
    </row>
    <row r="74" spans="1:18" ht="13.2" customHeight="1" x14ac:dyDescent="0.25">
      <c r="A74" s="143"/>
      <c r="C74" s="50" t="str">
        <f>IF(WEEKDAY($D$72,1)=startday,$D$72,"")</f>
        <v/>
      </c>
      <c r="D74" s="52" t="str">
        <f>IFERROR(INDEX(Events!$A:$A,MATCH(C74,Events!$G:$G,0)),"")</f>
        <v/>
      </c>
      <c r="E74" s="107">
        <f>IF(C74="",IF(WEEKDAY($D$72,1)=MOD(startday,7)+1,$D$72,""),C74+1)</f>
        <v>45992</v>
      </c>
      <c r="F74" s="108" t="s">
        <v>141</v>
      </c>
      <c r="G74" s="50">
        <f>IF(E74="",IF(WEEKDAY($D$72,1)=MOD(startday+1,7)+1,$D$72,""),E74+1)</f>
        <v>45993</v>
      </c>
      <c r="H74" s="97" t="s">
        <v>142</v>
      </c>
      <c r="I74" s="50">
        <f>IF(G74="",IF(WEEKDAY($D$72,1)=MOD(startday+2,7)+1,$D$72,""),G74+1)</f>
        <v>45994</v>
      </c>
      <c r="J74" s="97" t="s">
        <v>143</v>
      </c>
      <c r="K74" s="50">
        <f>IF(I74="",IF(WEEKDAY($D$72,1)=MOD(startday+3,7)+1,$D$72,""),I74+1)</f>
        <v>45995</v>
      </c>
      <c r="L74" s="97" t="s">
        <v>144</v>
      </c>
      <c r="M74" s="50">
        <f>IF(K74="",IF(WEEKDAY($D$72,1)=MOD(startday+4,7)+1,$D$72,""),K74+1)</f>
        <v>45996</v>
      </c>
      <c r="N74" s="97" t="s">
        <v>145</v>
      </c>
      <c r="O74" s="50">
        <f>IF(M74="",IF(WEEKDAY($D$72,1)=MOD(startday+5,7)+1,$D$72,""),M74+1)</f>
        <v>45997</v>
      </c>
      <c r="P74" s="52" t="str">
        <f>IFERROR(INDEX(Events!$A:$A,MATCH(O74,Events!$G:$G,0)),"")</f>
        <v/>
      </c>
      <c r="R74" s="198" t="s">
        <v>136</v>
      </c>
    </row>
    <row r="75" spans="1:18" ht="13.2" customHeight="1" x14ac:dyDescent="0.25">
      <c r="A75" s="143"/>
      <c r="C75" s="104"/>
      <c r="D75" s="105"/>
      <c r="E75" s="156" t="s">
        <v>177</v>
      </c>
      <c r="F75" s="157"/>
      <c r="G75" s="156" t="s">
        <v>177</v>
      </c>
      <c r="H75" s="157"/>
      <c r="I75" s="156" t="s">
        <v>177</v>
      </c>
      <c r="J75" s="157"/>
      <c r="K75" s="156" t="s">
        <v>177</v>
      </c>
      <c r="L75" s="157"/>
      <c r="M75" s="156" t="s">
        <v>177</v>
      </c>
      <c r="N75" s="157"/>
      <c r="O75" s="146" t="str">
        <f ca="1">IFERROR(INDEX(Events!$A:$A,MATCH(O74,Events!$H:$H,0)),"")</f>
        <v/>
      </c>
      <c r="P75" s="147"/>
      <c r="R75" s="150"/>
    </row>
    <row r="76" spans="1:18" s="54" customFormat="1" ht="10.199999999999999" customHeight="1" x14ac:dyDescent="0.2">
      <c r="A76" s="143"/>
      <c r="C76" s="146" t="str">
        <f ca="1">IFERROR(INDEX(Events!$A:$A,MATCH(C74,Events!$H:$H,0)),"")</f>
        <v/>
      </c>
      <c r="D76" s="147"/>
      <c r="E76" s="160" t="s">
        <v>121</v>
      </c>
      <c r="F76" s="161"/>
      <c r="G76" s="160" t="s">
        <v>121</v>
      </c>
      <c r="H76" s="161"/>
      <c r="I76" s="160" t="s">
        <v>121</v>
      </c>
      <c r="J76" s="161"/>
      <c r="K76" s="160" t="s">
        <v>121</v>
      </c>
      <c r="L76" s="161"/>
      <c r="M76" s="160" t="s">
        <v>121</v>
      </c>
      <c r="N76" s="161"/>
      <c r="O76" s="146" t="str">
        <f ca="1">IFERROR(INDEX(Events!$A:$A,MATCH(O74,Events!$H:$H,0)),"")</f>
        <v/>
      </c>
      <c r="P76" s="147"/>
      <c r="R76" s="150"/>
    </row>
    <row r="77" spans="1:18" s="54" customFormat="1" ht="10.199999999999999" customHeight="1" x14ac:dyDescent="0.2">
      <c r="A77" s="143"/>
      <c r="C77" s="146" t="str">
        <f ca="1">IFERROR(INDEX(Events!$A:$A,MATCH(C74,Events!$I:$I,0)),"")</f>
        <v/>
      </c>
      <c r="D77" s="147"/>
      <c r="E77" s="163" t="s">
        <v>120</v>
      </c>
      <c r="F77" s="164"/>
      <c r="G77" s="163" t="s">
        <v>120</v>
      </c>
      <c r="H77" s="164"/>
      <c r="I77" s="163" t="s">
        <v>120</v>
      </c>
      <c r="J77" s="164"/>
      <c r="K77" s="163" t="s">
        <v>120</v>
      </c>
      <c r="L77" s="164"/>
      <c r="M77" s="163" t="s">
        <v>120</v>
      </c>
      <c r="N77" s="164"/>
      <c r="O77" s="146" t="str">
        <f ca="1">IFERROR(INDEX(Events!$A:$A,MATCH(O74,Events!$I:$I,0)),"")</f>
        <v/>
      </c>
      <c r="P77" s="147"/>
      <c r="R77" s="150"/>
    </row>
    <row r="78" spans="1:18" s="54" customFormat="1" ht="10.199999999999999" customHeight="1" x14ac:dyDescent="0.2">
      <c r="A78" s="143"/>
      <c r="C78" s="146" t="str">
        <f ca="1">IFERROR(INDEX(Events!$A:$A,MATCH(C74,Events!$J:$J,0)),"")</f>
        <v/>
      </c>
      <c r="D78" s="147"/>
      <c r="E78" s="191" t="s">
        <v>183</v>
      </c>
      <c r="F78" s="192"/>
      <c r="G78" s="158" t="s">
        <v>175</v>
      </c>
      <c r="H78" s="216"/>
      <c r="I78" s="146" t="str">
        <f ca="1">IFERROR(INDEX(Events!$A:$A,MATCH(I74,Events!$J:$J,0)),"")</f>
        <v/>
      </c>
      <c r="J78" s="147"/>
      <c r="K78" s="146" t="str">
        <f ca="1">IFERROR(INDEX(Events!$A:$A,MATCH(K74,Events!$J:$J,0)),"")</f>
        <v/>
      </c>
      <c r="L78" s="147"/>
      <c r="M78" s="146" t="str">
        <f ca="1">IFERROR(INDEX(Events!$A:$A,MATCH(M74,Events!$J:$J,0)),"")</f>
        <v/>
      </c>
      <c r="N78" s="147"/>
      <c r="O78" s="146" t="str">
        <f ca="1">IFERROR(INDEX(Events!$A:$A,MATCH(O74,Events!$J:$J,0)),"")</f>
        <v/>
      </c>
      <c r="P78" s="147"/>
      <c r="R78" s="150"/>
    </row>
    <row r="79" spans="1:18" x14ac:dyDescent="0.25">
      <c r="A79" s="143"/>
      <c r="C79" s="50">
        <f>IF(O74="","",IF(MONTH(O74+1)&lt;&gt;MONTH(O74),"",O74+1))</f>
        <v>45998</v>
      </c>
      <c r="D79" s="52" t="str">
        <f>IFERROR(INDEX(Events!$A:$A,MATCH(C79,Events!$G:$G,0)),"")</f>
        <v>Pearl Harbor</v>
      </c>
      <c r="E79" s="50">
        <f>IF(C79="","",IF(MONTH(C79+1)&lt;&gt;MONTH(C79),"",C79+1))</f>
        <v>45999</v>
      </c>
      <c r="F79" s="97" t="s">
        <v>146</v>
      </c>
      <c r="G79" s="50">
        <f>IF(E79="","",IF(MONTH(E79+1)&lt;&gt;MONTH(E79),"",E79+1))</f>
        <v>46000</v>
      </c>
      <c r="H79" s="97" t="s">
        <v>147</v>
      </c>
      <c r="I79" s="50">
        <f>IF(G79="","",IF(MONTH(G79+1)&lt;&gt;MONTH(G79),"",G79+1))</f>
        <v>46001</v>
      </c>
      <c r="J79" s="97" t="s">
        <v>151</v>
      </c>
      <c r="K79" s="50">
        <f>IF(I79="","",IF(MONTH(I79+1)&lt;&gt;MONTH(I79),"",I79+1))</f>
        <v>46002</v>
      </c>
      <c r="L79" s="52" t="str">
        <f>IFERROR(INDEX(Events!$A:$A,MATCH(K79,Events!$G:$G,0)),"")</f>
        <v/>
      </c>
      <c r="M79" s="50">
        <f>IF(K79="","",IF(MONTH(K79+1)&lt;&gt;MONTH(K79),"",K79+1))</f>
        <v>46003</v>
      </c>
      <c r="N79" s="52" t="str">
        <f>IFERROR(INDEX(Events!$A:$A,MATCH(M79,Events!$G:$G,0)),"")</f>
        <v/>
      </c>
      <c r="O79" s="50">
        <f>IF(M79="","",IF(MONTH(M79+1)&lt;&gt;MONTH(M79),"",M79+1))</f>
        <v>46004</v>
      </c>
      <c r="P79" s="52" t="str">
        <f>IFERROR(INDEX(Events!$A:$A,MATCH(O79,Events!$G:$G,0)),"")</f>
        <v/>
      </c>
      <c r="R79" s="150" t="s">
        <v>137</v>
      </c>
    </row>
    <row r="80" spans="1:18" x14ac:dyDescent="0.25">
      <c r="A80" s="143"/>
      <c r="C80" s="168"/>
      <c r="D80" s="169"/>
      <c r="E80" s="156" t="s">
        <v>177</v>
      </c>
      <c r="F80" s="157"/>
      <c r="G80" s="156" t="s">
        <v>177</v>
      </c>
      <c r="H80" s="157"/>
      <c r="I80" s="156" t="s">
        <v>177</v>
      </c>
      <c r="J80" s="157"/>
      <c r="K80" s="156" t="s">
        <v>177</v>
      </c>
      <c r="L80" s="157"/>
      <c r="M80" s="156" t="s">
        <v>177</v>
      </c>
      <c r="N80" s="157"/>
      <c r="O80" s="146" t="str">
        <f ca="1">IFERROR(INDEX(Events!$A:$A,MATCH(O79,Events!$H:$H,0)),"")</f>
        <v/>
      </c>
      <c r="P80" s="147"/>
      <c r="R80" s="150"/>
    </row>
    <row r="81" spans="1:18" s="54" customFormat="1" ht="10.199999999999999" customHeight="1" x14ac:dyDescent="0.2">
      <c r="A81" s="143"/>
      <c r="C81" s="171"/>
      <c r="D81" s="172"/>
      <c r="E81" s="160" t="s">
        <v>121</v>
      </c>
      <c r="F81" s="161"/>
      <c r="G81" s="160" t="s">
        <v>121</v>
      </c>
      <c r="H81" s="161"/>
      <c r="I81" s="160" t="s">
        <v>121</v>
      </c>
      <c r="J81" s="161"/>
      <c r="K81" s="160" t="s">
        <v>121</v>
      </c>
      <c r="L81" s="161"/>
      <c r="M81" s="160" t="s">
        <v>121</v>
      </c>
      <c r="N81" s="161"/>
      <c r="O81" s="146" t="str">
        <f ca="1">IFERROR(INDEX(Events!$A:$A,MATCH(O79,Events!$H:$H,0)),"")</f>
        <v/>
      </c>
      <c r="P81" s="147"/>
      <c r="R81" s="150"/>
    </row>
    <row r="82" spans="1:18" s="54" customFormat="1" ht="10.199999999999999" customHeight="1" x14ac:dyDescent="0.2">
      <c r="A82" s="143"/>
      <c r="C82" s="171"/>
      <c r="D82" s="172"/>
      <c r="E82" s="163" t="s">
        <v>120</v>
      </c>
      <c r="F82" s="164"/>
      <c r="G82" s="163" t="s">
        <v>120</v>
      </c>
      <c r="H82" s="164"/>
      <c r="I82" s="163" t="s">
        <v>120</v>
      </c>
      <c r="J82" s="164"/>
      <c r="K82" s="163" t="s">
        <v>120</v>
      </c>
      <c r="L82" s="164"/>
      <c r="M82" s="163" t="s">
        <v>120</v>
      </c>
      <c r="N82" s="164"/>
      <c r="O82" s="146" t="str">
        <f ca="1">IFERROR(INDEX(Events!$A:$A,MATCH(O79,Events!$I:$I,0)),"")</f>
        <v/>
      </c>
      <c r="P82" s="147"/>
      <c r="R82" s="150"/>
    </row>
    <row r="83" spans="1:18" s="54" customFormat="1" ht="10.199999999999999" customHeight="1" x14ac:dyDescent="0.2">
      <c r="A83" s="143"/>
      <c r="C83" s="146" t="str">
        <f ca="1">IFERROR(INDEX(Events!$A:$A,MATCH(C79,Events!$J:$J,0)),"")</f>
        <v/>
      </c>
      <c r="D83" s="147"/>
      <c r="E83" s="166" t="s">
        <v>119</v>
      </c>
      <c r="F83" s="167" t="str">
        <f>IFERROR(INDEX([1]Events!#REF!,MATCH(E83,[1]Events!#REF!,0)),"")</f>
        <v/>
      </c>
      <c r="G83" s="203" t="s">
        <v>185</v>
      </c>
      <c r="H83" s="204" t="str">
        <f>IFERROR(INDEX([1]Events!#REF!,MATCH(G83,[1]Events!#REF!,0)),"")</f>
        <v/>
      </c>
      <c r="I83" s="146" t="str">
        <f ca="1">IFERROR(INDEX(Events!$A:$A,MATCH(I79,Events!$J:$J,0)),"")</f>
        <v/>
      </c>
      <c r="J83" s="147"/>
      <c r="K83" s="146" t="str">
        <f ca="1">IFERROR(INDEX(Events!$A:$A,MATCH(K79,Events!$J:$J,0)),"")</f>
        <v/>
      </c>
      <c r="L83" s="147"/>
      <c r="M83" s="146" t="str">
        <f ca="1">IFERROR(INDEX(Events!$A:$A,MATCH(M79,Events!$J:$J,0)),"")</f>
        <v/>
      </c>
      <c r="N83" s="147"/>
      <c r="O83" s="146" t="str">
        <f ca="1">IFERROR(INDEX(Events!$A:$A,MATCH(O79,Events!$J:$J,0)),"")</f>
        <v/>
      </c>
      <c r="P83" s="147"/>
      <c r="R83" s="150"/>
    </row>
    <row r="84" spans="1:18" x14ac:dyDescent="0.25">
      <c r="A84" s="143"/>
      <c r="C84" s="50">
        <f>IF(O79="","",IF(MONTH(O79+1)&lt;&gt;MONTH(O79),"",O79+1))</f>
        <v>46005</v>
      </c>
      <c r="D84" s="52" t="str">
        <f>IFERROR(INDEX(Events!$A:$A,MATCH(C84,Events!$G:$G,0)),"")</f>
        <v>Hanukkah begins</v>
      </c>
      <c r="E84" s="50">
        <f>IF(C84="","",IF(MONTH(C84+1)&lt;&gt;MONTH(C84),"",C84+1))</f>
        <v>46006</v>
      </c>
      <c r="F84" s="52" t="str">
        <f>IFERROR(INDEX(Events!$A:$A,MATCH(E84,Events!$G:$G,0)),"")</f>
        <v/>
      </c>
      <c r="G84" s="50">
        <f>IF(E84="","",IF(MONTH(E84+1)&lt;&gt;MONTH(E84),"",E84+1))</f>
        <v>46007</v>
      </c>
      <c r="H84" s="52" t="str">
        <f>IFERROR(INDEX(Events!$A:$A,MATCH(G84,Events!$G:$G,0)),"")</f>
        <v/>
      </c>
      <c r="I84" s="50">
        <f>IF(G84="","",IF(MONTH(G84+1)&lt;&gt;MONTH(G84),"",G84+1))</f>
        <v>46008</v>
      </c>
      <c r="J84" s="52" t="str">
        <f>IFERROR(INDEX(Events!$A:$A,MATCH(I84,Events!$G:$G,0)),"")</f>
        <v/>
      </c>
      <c r="K84" s="50">
        <f>IF(I84="","",IF(MONTH(I84+1)&lt;&gt;MONTH(I84),"",I84+1))</f>
        <v>46009</v>
      </c>
      <c r="L84" s="52" t="str">
        <f>IFERROR(INDEX(Events!$A:$A,MATCH(K84,Events!$G:$G,0)),"")</f>
        <v/>
      </c>
      <c r="M84" s="50">
        <f>IF(K84="","",IF(MONTH(K84+1)&lt;&gt;MONTH(K84),"",K84+1))</f>
        <v>46010</v>
      </c>
      <c r="N84" s="52" t="str">
        <f>IFERROR(INDEX(Events!$A:$A,MATCH(M84,Events!$G:$G,0)),"")</f>
        <v/>
      </c>
      <c r="O84" s="50">
        <f>IF(M84="","",IF(MONTH(M84+1)&lt;&gt;MONTH(M84),"",M84+1))</f>
        <v>46011</v>
      </c>
      <c r="P84" s="52" t="str">
        <f>IFERROR(INDEX(Events!$A:$A,MATCH(O84,Events!$G:$G,0)),"")</f>
        <v/>
      </c>
      <c r="R84" s="150" t="s">
        <v>138</v>
      </c>
    </row>
    <row r="85" spans="1:18" x14ac:dyDescent="0.25">
      <c r="A85" s="143"/>
      <c r="C85" s="168"/>
      <c r="D85" s="169"/>
      <c r="E85" s="156" t="s">
        <v>177</v>
      </c>
      <c r="F85" s="157"/>
      <c r="G85" s="156" t="s">
        <v>177</v>
      </c>
      <c r="H85" s="157"/>
      <c r="I85" s="156" t="s">
        <v>177</v>
      </c>
      <c r="J85" s="157"/>
      <c r="K85" s="156" t="s">
        <v>177</v>
      </c>
      <c r="L85" s="157"/>
      <c r="M85" s="156" t="s">
        <v>177</v>
      </c>
      <c r="N85" s="157"/>
      <c r="O85" s="221" t="s">
        <v>177</v>
      </c>
      <c r="P85" s="170"/>
      <c r="R85" s="150"/>
    </row>
    <row r="86" spans="1:18" s="54" customFormat="1" ht="10.199999999999999" customHeight="1" x14ac:dyDescent="0.2">
      <c r="A86" s="143"/>
      <c r="C86" s="171"/>
      <c r="D86" s="172"/>
      <c r="E86" s="160" t="s">
        <v>121</v>
      </c>
      <c r="F86" s="161"/>
      <c r="G86" s="160" t="s">
        <v>121</v>
      </c>
      <c r="H86" s="161"/>
      <c r="I86" s="160" t="s">
        <v>121</v>
      </c>
      <c r="J86" s="161"/>
      <c r="K86" s="160" t="s">
        <v>121</v>
      </c>
      <c r="L86" s="161"/>
      <c r="M86" s="160" t="s">
        <v>121</v>
      </c>
      <c r="N86" s="161"/>
      <c r="O86" s="160" t="s">
        <v>121</v>
      </c>
      <c r="P86" s="161"/>
      <c r="R86" s="150"/>
    </row>
    <row r="87" spans="1:18" s="54" customFormat="1" ht="10.199999999999999" customHeight="1" x14ac:dyDescent="0.2">
      <c r="A87" s="143"/>
      <c r="C87" s="171"/>
      <c r="D87" s="172"/>
      <c r="E87" s="163" t="s">
        <v>120</v>
      </c>
      <c r="F87" s="164"/>
      <c r="G87" s="163" t="s">
        <v>120</v>
      </c>
      <c r="H87" s="164"/>
      <c r="I87" s="163" t="s">
        <v>120</v>
      </c>
      <c r="J87" s="164"/>
      <c r="K87" s="163" t="s">
        <v>120</v>
      </c>
      <c r="L87" s="164"/>
      <c r="M87" s="163" t="s">
        <v>120</v>
      </c>
      <c r="N87" s="164"/>
      <c r="O87" s="163" t="s">
        <v>120</v>
      </c>
      <c r="P87" s="164"/>
      <c r="R87" s="150"/>
    </row>
    <row r="88" spans="1:18" s="54" customFormat="1" ht="10.199999999999999" customHeight="1" x14ac:dyDescent="0.2">
      <c r="A88" s="143"/>
      <c r="C88" s="146" t="str">
        <f ca="1">IFERROR(INDEX(Events!$A:$A,MATCH(C84,Events!$J:$J,0)),"")</f>
        <v/>
      </c>
      <c r="D88" s="147"/>
      <c r="E88" s="146" t="str">
        <f ca="1">IFERROR(INDEX(Events!$A:$A,MATCH(E84,Events!$J:$J,0)),"")</f>
        <v/>
      </c>
      <c r="F88" s="147"/>
      <c r="G88" s="203" t="s">
        <v>184</v>
      </c>
      <c r="H88" s="204"/>
      <c r="I88" s="146" t="str">
        <f ca="1">IFERROR(INDEX(Events!$A:$A,MATCH(I84,Events!$J:$J,0)),"")</f>
        <v/>
      </c>
      <c r="J88" s="147"/>
      <c r="K88" s="146" t="str">
        <f ca="1">IFERROR(INDEX(Events!$A:$A,MATCH(K84,Events!$J:$J,0)),"")</f>
        <v/>
      </c>
      <c r="L88" s="147"/>
      <c r="M88" s="146" t="str">
        <f ca="1">IFERROR(INDEX(Events!$A:$A,MATCH(M84,Events!$J:$J,0)),"")</f>
        <v/>
      </c>
      <c r="N88" s="147"/>
      <c r="O88" s="146" t="str">
        <f ca="1">IFERROR(INDEX(Events!$A:$A,MATCH(O84,Events!$J:$J,0)),"")</f>
        <v/>
      </c>
      <c r="P88" s="147"/>
      <c r="R88" s="150"/>
    </row>
    <row r="89" spans="1:18" x14ac:dyDescent="0.25">
      <c r="A89" s="143"/>
      <c r="C89" s="50">
        <f>IF(O84="","",IF(MONTH(O84+1)&lt;&gt;MONTH(O84),"",O84+1))</f>
        <v>46012</v>
      </c>
      <c r="D89" s="52" t="str">
        <f>IFERROR(INDEX(Events!$A:$A,MATCH(C89,Events!$G:$G,0)),"")</f>
        <v>Dec. Solstice (GMT)</v>
      </c>
      <c r="E89" s="50">
        <f>IF(C89="","",IF(MONTH(C89+1)&lt;&gt;MONTH(C89),"",C89+1))</f>
        <v>46013</v>
      </c>
      <c r="F89" s="52" t="str">
        <f>IFERROR(INDEX(Events!$A:$A,MATCH(E89,Events!$G:$G,0)),"")</f>
        <v/>
      </c>
      <c r="G89" s="50">
        <f>IF(E89="","",IF(MONTH(E89+1)&lt;&gt;MONTH(E89),"",E89+1))</f>
        <v>46014</v>
      </c>
      <c r="H89" s="52" t="str">
        <f>IFERROR(INDEX(Events!$A:$A,MATCH(G89,Events!$G:$G,0)),"")</f>
        <v/>
      </c>
      <c r="I89" s="50">
        <f>IF(G89="","",IF(MONTH(G89+1)&lt;&gt;MONTH(G89),"",G89+1))</f>
        <v>46015</v>
      </c>
      <c r="J89" s="52" t="str">
        <f>IFERROR(INDEX(Events!$A:$A,MATCH(I89,Events!$G:$G,0)),"")</f>
        <v>Christmas Eve</v>
      </c>
      <c r="K89" s="50">
        <f>IF(I89="","",IF(MONTH(I89+1)&lt;&gt;MONTH(I89),"",I89+1))</f>
        <v>46016</v>
      </c>
      <c r="L89" s="52" t="str">
        <f>IFERROR(INDEX(Events!$A:$A,MATCH(K89,Events!$G:$G,0)),"")</f>
        <v>Christmas Day</v>
      </c>
      <c r="M89" s="50">
        <f>IF(K89="","",IF(MONTH(K89+1)&lt;&gt;MONTH(K89),"",K89+1))</f>
        <v>46017</v>
      </c>
      <c r="N89" s="52" t="str">
        <f>IFERROR(INDEX(Events!$A:$A,MATCH(M89,Events!$G:$G,0)),"")</f>
        <v>Kwanzaa begins</v>
      </c>
      <c r="O89" s="50">
        <f>IF(M89="","",IF(MONTH(M89+1)&lt;&gt;MONTH(M89),"",M89+1))</f>
        <v>46018</v>
      </c>
      <c r="P89" s="52" t="str">
        <f>IFERROR(INDEX(Events!$A:$A,MATCH(O89,Events!$G:$G,0)),"")</f>
        <v/>
      </c>
      <c r="R89" s="150" t="s">
        <v>139</v>
      </c>
    </row>
    <row r="90" spans="1:18" x14ac:dyDescent="0.25">
      <c r="A90" s="143"/>
      <c r="C90" s="168"/>
      <c r="D90" s="169"/>
      <c r="E90" s="156" t="s">
        <v>177</v>
      </c>
      <c r="F90" s="157"/>
      <c r="G90" s="156" t="s">
        <v>177</v>
      </c>
      <c r="H90" s="157"/>
      <c r="I90" s="156" t="s">
        <v>177</v>
      </c>
      <c r="J90" s="157"/>
      <c r="K90" s="163"/>
      <c r="L90" s="164"/>
      <c r="M90" s="156" t="s">
        <v>177</v>
      </c>
      <c r="N90" s="157"/>
      <c r="O90" s="221" t="s">
        <v>177</v>
      </c>
      <c r="P90" s="170"/>
      <c r="R90" s="150"/>
    </row>
    <row r="91" spans="1:18" s="54" customFormat="1" ht="10.199999999999999" customHeight="1" x14ac:dyDescent="0.2">
      <c r="A91" s="143"/>
      <c r="C91" s="171"/>
      <c r="D91" s="172"/>
      <c r="E91" s="160" t="s">
        <v>121</v>
      </c>
      <c r="F91" s="161"/>
      <c r="G91" s="160" t="s">
        <v>121</v>
      </c>
      <c r="H91" s="161"/>
      <c r="I91" s="160" t="s">
        <v>121</v>
      </c>
      <c r="J91" s="161"/>
      <c r="K91" s="153" t="s">
        <v>176</v>
      </c>
      <c r="L91" s="154"/>
      <c r="M91" s="160" t="s">
        <v>121</v>
      </c>
      <c r="N91" s="161"/>
      <c r="O91" s="160" t="s">
        <v>121</v>
      </c>
      <c r="P91" s="161"/>
      <c r="R91" s="150"/>
    </row>
    <row r="92" spans="1:18" s="54" customFormat="1" ht="10.199999999999999" customHeight="1" x14ac:dyDescent="0.2">
      <c r="A92" s="143"/>
      <c r="C92" s="171"/>
      <c r="D92" s="172"/>
      <c r="E92" s="163" t="s">
        <v>120</v>
      </c>
      <c r="F92" s="164"/>
      <c r="G92" s="163" t="s">
        <v>120</v>
      </c>
      <c r="H92" s="164"/>
      <c r="I92" s="163" t="s">
        <v>120</v>
      </c>
      <c r="J92" s="164"/>
      <c r="K92" s="163"/>
      <c r="L92" s="164"/>
      <c r="M92" s="163" t="s">
        <v>120</v>
      </c>
      <c r="N92" s="164"/>
      <c r="O92" s="163" t="s">
        <v>120</v>
      </c>
      <c r="P92" s="164"/>
      <c r="R92" s="150"/>
    </row>
    <row r="93" spans="1:18" s="54" customFormat="1" ht="10.199999999999999" customHeight="1" x14ac:dyDescent="0.2">
      <c r="A93" s="143"/>
      <c r="C93" s="146" t="str">
        <f ca="1">IFERROR(INDEX(Events!$A:$A,MATCH(C89,Events!$J:$J,0)),"")</f>
        <v/>
      </c>
      <c r="D93" s="147"/>
      <c r="E93" s="146" t="str">
        <f ca="1">IFERROR(INDEX(Events!$A:$A,MATCH(E89,Events!$J:$J,0)),"")</f>
        <v/>
      </c>
      <c r="F93" s="147"/>
      <c r="G93" s="146" t="str">
        <f ca="1">IFERROR(INDEX(Events!$A:$A,MATCH(G89,Events!$J:$J,0)),"")</f>
        <v/>
      </c>
      <c r="H93" s="147"/>
      <c r="I93" s="146" t="str">
        <f ca="1">IFERROR(INDEX(Events!$A:$A,MATCH(I89,Events!$J:$J,0)),"")</f>
        <v/>
      </c>
      <c r="J93" s="147"/>
      <c r="K93" s="146" t="str">
        <f ca="1">IFERROR(INDEX(Events!$A:$A,MATCH(K89,Events!$J:$J,0)),"")</f>
        <v/>
      </c>
      <c r="L93" s="147"/>
      <c r="M93" s="146" t="str">
        <f ca="1">IFERROR(INDEX(Events!$A:$A,MATCH(M89,Events!$J:$J,0)),"")</f>
        <v/>
      </c>
      <c r="N93" s="147"/>
      <c r="O93" s="146" t="str">
        <f ca="1">IFERROR(INDEX(Events!$A:$A,MATCH(O89,Events!$J:$J,0)),"")</f>
        <v/>
      </c>
      <c r="P93" s="147"/>
      <c r="R93" s="150"/>
    </row>
    <row r="94" spans="1:18" x14ac:dyDescent="0.25">
      <c r="A94" s="143"/>
      <c r="C94" s="50">
        <f>IF(O89="","",IF(MONTH(O89+1)&lt;&gt;MONTH(O89),"",O89+1))</f>
        <v>46019</v>
      </c>
      <c r="D94" s="52" t="str">
        <f>IFERROR(INDEX(Events!$A:$A,MATCH(C94,Events!$G:$G,0)),"")</f>
        <v/>
      </c>
      <c r="E94" s="50">
        <f>IF(C94="","",IF(MONTH(C94+1)&lt;&gt;MONTH(C94),"",C94+1))</f>
        <v>46020</v>
      </c>
      <c r="F94" s="52" t="str">
        <f>IFERROR(INDEX(Events!$A:$A,MATCH(E94,Events!$G:$G,0)),"")</f>
        <v/>
      </c>
      <c r="G94" s="50">
        <f>IF(E94="","",IF(MONTH(E94+1)&lt;&gt;MONTH(E94),"",E94+1))</f>
        <v>46021</v>
      </c>
      <c r="H94" s="52" t="str">
        <f>IFERROR(INDEX(Events!$A:$A,MATCH(G94,Events!$G:$G,0)),"")</f>
        <v/>
      </c>
      <c r="I94" s="50">
        <f>IF(G94="","",IF(MONTH(G94+1)&lt;&gt;MONTH(G94),"",G94+1))</f>
        <v>46022</v>
      </c>
      <c r="J94" s="52" t="str">
        <f>IFERROR(INDEX(Events!$A:$A,MATCH(I94,Events!$G:$G,0)),"")</f>
        <v>New Year's Eve</v>
      </c>
      <c r="K94" s="126">
        <f>IF(I94="",IF(WEEKDAY($D$7,1)=MOD(startday+2,7)+1,$D$7,""),I94+1)</f>
        <v>46023</v>
      </c>
      <c r="L94" s="97"/>
      <c r="M94" s="91">
        <f>IF(K94="",IF(WEEKDAY($D$7,1)=MOD(startday+2,7)+1,$D$7,""),K94+1)</f>
        <v>46024</v>
      </c>
      <c r="N94" s="92" t="s">
        <v>141</v>
      </c>
      <c r="O94" s="50">
        <f>IF(M94="",IF(WEEKDAY($D$7,1)=MOD(startday+3,7)+1,$D$7,""),M94+1)</f>
        <v>46025</v>
      </c>
      <c r="P94" s="97"/>
      <c r="R94" s="184" t="s">
        <v>140</v>
      </c>
    </row>
    <row r="95" spans="1:18" x14ac:dyDescent="0.25">
      <c r="A95" s="143"/>
      <c r="C95" s="221" t="s">
        <v>177</v>
      </c>
      <c r="D95" s="170"/>
      <c r="E95" s="156" t="s">
        <v>177</v>
      </c>
      <c r="F95" s="157"/>
      <c r="G95" s="156" t="s">
        <v>177</v>
      </c>
      <c r="H95" s="157"/>
      <c r="I95" s="156" t="s">
        <v>177</v>
      </c>
      <c r="J95" s="157"/>
      <c r="K95" s="153" t="s">
        <v>176</v>
      </c>
      <c r="L95" s="154"/>
      <c r="M95" s="148" t="s">
        <v>116</v>
      </c>
      <c r="N95" s="149" t="str">
        <f>IFERROR(INDEX(Events!#REF!,MATCH(M95,Events!K:K,0)),"")</f>
        <v/>
      </c>
      <c r="O95" s="153" t="s">
        <v>181</v>
      </c>
      <c r="P95" s="154"/>
      <c r="R95" s="184"/>
    </row>
    <row r="96" spans="1:18" s="54" customFormat="1" ht="10.199999999999999" customHeight="1" x14ac:dyDescent="0.2">
      <c r="A96" s="143"/>
      <c r="C96" s="160" t="s">
        <v>121</v>
      </c>
      <c r="D96" s="161"/>
      <c r="E96" s="160" t="s">
        <v>121</v>
      </c>
      <c r="F96" s="161"/>
      <c r="G96" s="160" t="s">
        <v>121</v>
      </c>
      <c r="H96" s="161"/>
      <c r="I96" s="160" t="s">
        <v>121</v>
      </c>
      <c r="J96" s="161"/>
      <c r="K96" s="146" t="str">
        <f ca="1">IFERROR(INDEX(Events!$A:$A,MATCH(K94,Events!$H:$H,0)),"")</f>
        <v/>
      </c>
      <c r="L96" s="147"/>
      <c r="M96" s="148" t="s">
        <v>177</v>
      </c>
      <c r="N96" s="149"/>
      <c r="O96" s="146" t="str">
        <f ca="1">IFERROR(INDEX(Events!$A:$A,MATCH(O94,Events!$H:$H,0)),"")</f>
        <v/>
      </c>
      <c r="P96" s="147"/>
      <c r="R96" s="184"/>
    </row>
    <row r="97" spans="1:18" s="54" customFormat="1" ht="10.199999999999999" customHeight="1" x14ac:dyDescent="0.2">
      <c r="A97" s="143"/>
      <c r="C97" s="163" t="s">
        <v>120</v>
      </c>
      <c r="D97" s="164"/>
      <c r="E97" s="163" t="s">
        <v>120</v>
      </c>
      <c r="F97" s="164"/>
      <c r="G97" s="163" t="s">
        <v>120</v>
      </c>
      <c r="H97" s="164"/>
      <c r="I97" s="163" t="s">
        <v>120</v>
      </c>
      <c r="J97" s="164"/>
      <c r="K97" s="146" t="str">
        <f ca="1">IFERROR(INDEX(Events!$A:$A,MATCH(K94,Events!$I:$I,0)),"")</f>
        <v/>
      </c>
      <c r="L97" s="147"/>
      <c r="M97" s="151"/>
      <c r="N97" s="152"/>
      <c r="O97" s="146" t="str">
        <f ca="1">IFERROR(INDEX(Events!$A:$A,MATCH(O94,Events!$I:$I,0)),"")</f>
        <v/>
      </c>
      <c r="P97" s="147"/>
      <c r="R97" s="184"/>
    </row>
    <row r="98" spans="1:18" s="54" customFormat="1" ht="10.199999999999999" customHeight="1" x14ac:dyDescent="0.2">
      <c r="A98" s="143"/>
      <c r="C98" s="180" t="str">
        <f ca="1">IFERROR(INDEX(Events!$A:$A,MATCH(C94,Events!$J:$J,0)),"")</f>
        <v/>
      </c>
      <c r="D98" s="181"/>
      <c r="E98" s="180" t="str">
        <f ca="1">IFERROR(INDEX(Events!$A:$A,MATCH(E94,Events!$J:$J,0)),"")</f>
        <v/>
      </c>
      <c r="F98" s="181"/>
      <c r="G98" s="180" t="str">
        <f ca="1">IFERROR(INDEX(Events!$A:$A,MATCH(G94,Events!$J:$J,0)),"")</f>
        <v/>
      </c>
      <c r="H98" s="181"/>
      <c r="I98" s="180" t="str">
        <f ca="1">IFERROR(INDEX(Events!$A:$A,MATCH(I94,Events!$J:$J,0)),"")</f>
        <v/>
      </c>
      <c r="J98" s="181"/>
      <c r="K98" s="180" t="str">
        <f ca="1">IFERROR(INDEX(Events!$A:$A,MATCH(K94,Events!$J:$J,0)),"")</f>
        <v/>
      </c>
      <c r="L98" s="181"/>
      <c r="M98" s="214" t="s">
        <v>123</v>
      </c>
      <c r="N98" s="215"/>
      <c r="O98" s="180" t="str">
        <f ca="1">IFERROR(INDEX(Events!$A:$A,MATCH(O94,Events!$J:$J,0)),"")</f>
        <v/>
      </c>
      <c r="P98" s="181"/>
      <c r="R98" s="184"/>
    </row>
    <row r="99" spans="1:18" hidden="1" x14ac:dyDescent="0.25">
      <c r="A99" s="143"/>
      <c r="C99" s="50">
        <f>IF(O94="","",IF(MONTH(O94+1)&lt;&gt;MONTH(O94),"",O94+1))</f>
        <v>46026</v>
      </c>
      <c r="D99" s="52" t="str">
        <f>IFERROR(INDEX(Events!$A:$A,MATCH(C99,Events!$G:$G,0)),"")</f>
        <v/>
      </c>
      <c r="E99" s="50">
        <f>IF(C99="","",IF(MONTH(C99+1)&lt;&gt;MONTH(C99),"",C99+1))</f>
        <v>46027</v>
      </c>
      <c r="F99" s="52" t="str">
        <f>IFERROR(INDEX(Events!$A:$A,MATCH(E99,Events!$G:$G,0)),"")</f>
        <v/>
      </c>
      <c r="G99" s="51"/>
      <c r="H99" s="5"/>
      <c r="I99" s="5"/>
      <c r="J99" s="5"/>
      <c r="K99" s="5"/>
      <c r="L99" s="5"/>
      <c r="R99" s="184" t="s">
        <v>140</v>
      </c>
    </row>
    <row r="100" spans="1:18" s="54" customFormat="1" ht="10.199999999999999" hidden="1" x14ac:dyDescent="0.2">
      <c r="A100" s="143"/>
      <c r="C100" s="146" t="str">
        <f ca="1">IFERROR(INDEX(Events!$A:$A,MATCH(C99,Events!$H:$H,0)),"")</f>
        <v/>
      </c>
      <c r="D100" s="147"/>
      <c r="E100" s="146" t="str">
        <f ca="1">IFERROR(INDEX(Events!$A:$A,MATCH(E99,Events!$H:$H,0)),"")</f>
        <v/>
      </c>
      <c r="F100" s="147"/>
      <c r="G100" s="59"/>
      <c r="H100" s="3"/>
      <c r="I100" s="3"/>
      <c r="J100" s="3"/>
      <c r="K100" s="3"/>
      <c r="L100" s="3"/>
      <c r="R100" s="184"/>
    </row>
    <row r="101" spans="1:18" s="54" customFormat="1" ht="10.199999999999999" hidden="1" x14ac:dyDescent="0.2">
      <c r="A101" s="143"/>
      <c r="C101" s="146" t="str">
        <f ca="1">IFERROR(INDEX(Events!$A:$A,MATCH(C99,Events!$I:$I,0)),"")</f>
        <v/>
      </c>
      <c r="D101" s="147"/>
      <c r="E101" s="146" t="str">
        <f ca="1">IFERROR(INDEX(Events!$A:$A,MATCH(E99,Events!$I:$I,0)),"")</f>
        <v/>
      </c>
      <c r="F101" s="147"/>
      <c r="G101" s="59"/>
      <c r="H101" s="3"/>
      <c r="I101" s="3"/>
      <c r="J101" s="3"/>
      <c r="K101" s="3"/>
      <c r="L101" s="3"/>
      <c r="P101" s="60" t="s">
        <v>93</v>
      </c>
      <c r="R101" s="184"/>
    </row>
    <row r="102" spans="1:18" s="54" customFormat="1" ht="10.199999999999999" hidden="1" x14ac:dyDescent="0.2">
      <c r="A102" s="143"/>
      <c r="C102" s="180" t="str">
        <f ca="1">IFERROR(INDEX(Events!$A:$A,MATCH(C99,Events!$J:$J,0)),"")</f>
        <v/>
      </c>
      <c r="D102" s="181"/>
      <c r="E102" s="180" t="str">
        <f ca="1">IFERROR(INDEX(Events!$A:$A,MATCH(E99,Events!$J:$J,0)),"")</f>
        <v/>
      </c>
      <c r="F102" s="181"/>
      <c r="G102" s="59"/>
      <c r="H102" s="3"/>
      <c r="I102" s="3"/>
      <c r="J102" s="3"/>
      <c r="K102" s="3"/>
      <c r="L102" s="3"/>
      <c r="P102" s="60" t="s">
        <v>92</v>
      </c>
      <c r="R102" s="184"/>
    </row>
  </sheetData>
  <mergeCells count="473">
    <mergeCell ref="R61:R65"/>
    <mergeCell ref="R74:R78"/>
    <mergeCell ref="R79:R83"/>
    <mergeCell ref="R84:R88"/>
    <mergeCell ref="R89:R93"/>
    <mergeCell ref="R94:R98"/>
    <mergeCell ref="R99:R102"/>
    <mergeCell ref="R9:R13"/>
    <mergeCell ref="R14:R18"/>
    <mergeCell ref="R19:R23"/>
    <mergeCell ref="R24:R28"/>
    <mergeCell ref="R29:R33"/>
    <mergeCell ref="R41:R45"/>
    <mergeCell ref="R46:R50"/>
    <mergeCell ref="R51:R55"/>
    <mergeCell ref="R56:R60"/>
    <mergeCell ref="I5:P6"/>
    <mergeCell ref="C8:D8"/>
    <mergeCell ref="E8:F8"/>
    <mergeCell ref="G8:H8"/>
    <mergeCell ref="I8:J8"/>
    <mergeCell ref="K8:L8"/>
    <mergeCell ref="M8:N8"/>
    <mergeCell ref="O8:P8"/>
    <mergeCell ref="O11:P11"/>
    <mergeCell ref="I10:J10"/>
    <mergeCell ref="K10:L10"/>
    <mergeCell ref="M10:N10"/>
    <mergeCell ref="O10:P10"/>
    <mergeCell ref="G12:H12"/>
    <mergeCell ref="I12:J12"/>
    <mergeCell ref="K12:L12"/>
    <mergeCell ref="M12:N12"/>
    <mergeCell ref="O12:P12"/>
    <mergeCell ref="C11:D11"/>
    <mergeCell ref="E11:F11"/>
    <mergeCell ref="G11:H11"/>
    <mergeCell ref="I11:J11"/>
    <mergeCell ref="K11:L11"/>
    <mergeCell ref="M11:N11"/>
    <mergeCell ref="O13:P13"/>
    <mergeCell ref="C16:D16"/>
    <mergeCell ref="E16:F16"/>
    <mergeCell ref="G16:H16"/>
    <mergeCell ref="I16:J16"/>
    <mergeCell ref="K16:L16"/>
    <mergeCell ref="M16:N16"/>
    <mergeCell ref="O16:P16"/>
    <mergeCell ref="C13:D13"/>
    <mergeCell ref="E13:F13"/>
    <mergeCell ref="G13:H13"/>
    <mergeCell ref="I13:J13"/>
    <mergeCell ref="K13:L13"/>
    <mergeCell ref="M13:N13"/>
    <mergeCell ref="G15:H15"/>
    <mergeCell ref="I15:J15"/>
    <mergeCell ref="K15:L15"/>
    <mergeCell ref="M15:N15"/>
    <mergeCell ref="O15:P15"/>
    <mergeCell ref="O21:P21"/>
    <mergeCell ref="C22:D22"/>
    <mergeCell ref="E22:F22"/>
    <mergeCell ref="G22:H22"/>
    <mergeCell ref="I22:J22"/>
    <mergeCell ref="K22:L22"/>
    <mergeCell ref="M22:N22"/>
    <mergeCell ref="O22:P22"/>
    <mergeCell ref="C21:D21"/>
    <mergeCell ref="E21:F21"/>
    <mergeCell ref="G21:H21"/>
    <mergeCell ref="I21:J21"/>
    <mergeCell ref="K21:L21"/>
    <mergeCell ref="M21:N21"/>
    <mergeCell ref="O23:P23"/>
    <mergeCell ref="C26:D26"/>
    <mergeCell ref="E26:F26"/>
    <mergeCell ref="G26:H26"/>
    <mergeCell ref="I28:J28"/>
    <mergeCell ref="K26:L26"/>
    <mergeCell ref="M26:N26"/>
    <mergeCell ref="O26:P26"/>
    <mergeCell ref="C23:D23"/>
    <mergeCell ref="E23:F23"/>
    <mergeCell ref="G23:H23"/>
    <mergeCell ref="I23:J23"/>
    <mergeCell ref="K23:L23"/>
    <mergeCell ref="M23:N23"/>
    <mergeCell ref="K25:L25"/>
    <mergeCell ref="M25:N25"/>
    <mergeCell ref="O25:P25"/>
    <mergeCell ref="C25:D25"/>
    <mergeCell ref="E25:F25"/>
    <mergeCell ref="G25:H25"/>
    <mergeCell ref="I25:J25"/>
    <mergeCell ref="I26:J26"/>
    <mergeCell ref="O27:P27"/>
    <mergeCell ref="C28:D28"/>
    <mergeCell ref="E28:F28"/>
    <mergeCell ref="G28:H28"/>
    <mergeCell ref="K28:L28"/>
    <mergeCell ref="M28:N28"/>
    <mergeCell ref="O28:P28"/>
    <mergeCell ref="C27:D27"/>
    <mergeCell ref="E27:F27"/>
    <mergeCell ref="G27:H27"/>
    <mergeCell ref="I27:J27"/>
    <mergeCell ref="K27:L27"/>
    <mergeCell ref="M27:N27"/>
    <mergeCell ref="O31:P31"/>
    <mergeCell ref="C32:D32"/>
    <mergeCell ref="E32:F32"/>
    <mergeCell ref="G32:H32"/>
    <mergeCell ref="I32:J32"/>
    <mergeCell ref="K32:L32"/>
    <mergeCell ref="M32:N32"/>
    <mergeCell ref="O32:P32"/>
    <mergeCell ref="C31:D31"/>
    <mergeCell ref="E31:F31"/>
    <mergeCell ref="G31:H31"/>
    <mergeCell ref="I31:J31"/>
    <mergeCell ref="K31:L31"/>
    <mergeCell ref="M31:N31"/>
    <mergeCell ref="O33:P33"/>
    <mergeCell ref="C35:D35"/>
    <mergeCell ref="E35:F35"/>
    <mergeCell ref="C36:D36"/>
    <mergeCell ref="E36:F36"/>
    <mergeCell ref="I36:P38"/>
    <mergeCell ref="C37:D37"/>
    <mergeCell ref="E37:F37"/>
    <mergeCell ref="C33:D33"/>
    <mergeCell ref="E33:F33"/>
    <mergeCell ref="G33:H33"/>
    <mergeCell ref="I33:J33"/>
    <mergeCell ref="K33:L33"/>
    <mergeCell ref="M33:N33"/>
    <mergeCell ref="O40:P40"/>
    <mergeCell ref="C43:D43"/>
    <mergeCell ref="E43:F43"/>
    <mergeCell ref="G43:H43"/>
    <mergeCell ref="I43:J43"/>
    <mergeCell ref="K43:L43"/>
    <mergeCell ref="M43:N43"/>
    <mergeCell ref="O43:P43"/>
    <mergeCell ref="C40:D40"/>
    <mergeCell ref="E40:F40"/>
    <mergeCell ref="G40:H40"/>
    <mergeCell ref="I40:J40"/>
    <mergeCell ref="K40:L40"/>
    <mergeCell ref="M40:N40"/>
    <mergeCell ref="O42:P42"/>
    <mergeCell ref="O44:P44"/>
    <mergeCell ref="C45:D45"/>
    <mergeCell ref="E45:F45"/>
    <mergeCell ref="G45:H45"/>
    <mergeCell ref="I45:J45"/>
    <mergeCell ref="K45:L45"/>
    <mergeCell ref="M45:N45"/>
    <mergeCell ref="O45:P45"/>
    <mergeCell ref="C44:D44"/>
    <mergeCell ref="E44:F44"/>
    <mergeCell ref="G44:H44"/>
    <mergeCell ref="I44:J44"/>
    <mergeCell ref="K44:L44"/>
    <mergeCell ref="M44:N44"/>
    <mergeCell ref="O48:P48"/>
    <mergeCell ref="C49:D49"/>
    <mergeCell ref="E49:F49"/>
    <mergeCell ref="G49:H49"/>
    <mergeCell ref="I49:J49"/>
    <mergeCell ref="K49:L49"/>
    <mergeCell ref="M49:N49"/>
    <mergeCell ref="O49:P49"/>
    <mergeCell ref="C48:D48"/>
    <mergeCell ref="E48:F48"/>
    <mergeCell ref="G48:H48"/>
    <mergeCell ref="I48:J48"/>
    <mergeCell ref="K48:L48"/>
    <mergeCell ref="M48:N48"/>
    <mergeCell ref="I54:J54"/>
    <mergeCell ref="K54:L54"/>
    <mergeCell ref="M54:N54"/>
    <mergeCell ref="O50:P50"/>
    <mergeCell ref="C53:D53"/>
    <mergeCell ref="E53:F53"/>
    <mergeCell ref="G53:H53"/>
    <mergeCell ref="I53:J53"/>
    <mergeCell ref="K53:L53"/>
    <mergeCell ref="M53:N53"/>
    <mergeCell ref="O53:P53"/>
    <mergeCell ref="C50:D50"/>
    <mergeCell ref="E50:F50"/>
    <mergeCell ref="G50:H50"/>
    <mergeCell ref="I50:J50"/>
    <mergeCell ref="K50:L50"/>
    <mergeCell ref="M50:N50"/>
    <mergeCell ref="C52:D52"/>
    <mergeCell ref="E52:F52"/>
    <mergeCell ref="G52:H52"/>
    <mergeCell ref="I52:J52"/>
    <mergeCell ref="K52:L52"/>
    <mergeCell ref="M52:N52"/>
    <mergeCell ref="O52:P52"/>
    <mergeCell ref="O58:P58"/>
    <mergeCell ref="C59:D59"/>
    <mergeCell ref="E59:F59"/>
    <mergeCell ref="G59:H59"/>
    <mergeCell ref="I59:J59"/>
    <mergeCell ref="K59:L59"/>
    <mergeCell ref="M59:N59"/>
    <mergeCell ref="O59:P59"/>
    <mergeCell ref="C58:D58"/>
    <mergeCell ref="E58:F58"/>
    <mergeCell ref="G58:H58"/>
    <mergeCell ref="I58:J58"/>
    <mergeCell ref="K58:L58"/>
    <mergeCell ref="M58:N58"/>
    <mergeCell ref="O60:P60"/>
    <mergeCell ref="C63:D63"/>
    <mergeCell ref="E63:F63"/>
    <mergeCell ref="G63:H63"/>
    <mergeCell ref="I63:J63"/>
    <mergeCell ref="K63:L63"/>
    <mergeCell ref="M63:N63"/>
    <mergeCell ref="O63:P63"/>
    <mergeCell ref="C60:D60"/>
    <mergeCell ref="E60:F60"/>
    <mergeCell ref="G60:H60"/>
    <mergeCell ref="I60:J60"/>
    <mergeCell ref="K60:L60"/>
    <mergeCell ref="M60:N60"/>
    <mergeCell ref="I69:P71"/>
    <mergeCell ref="C70:D70"/>
    <mergeCell ref="E70:F70"/>
    <mergeCell ref="O64:P64"/>
    <mergeCell ref="C65:D65"/>
    <mergeCell ref="E65:F65"/>
    <mergeCell ref="G65:H65"/>
    <mergeCell ref="I65:J65"/>
    <mergeCell ref="K65:L65"/>
    <mergeCell ref="M65:N65"/>
    <mergeCell ref="O65:P65"/>
    <mergeCell ref="C64:D64"/>
    <mergeCell ref="E64:F64"/>
    <mergeCell ref="G64:H64"/>
    <mergeCell ref="I64:J64"/>
    <mergeCell ref="K64:L64"/>
    <mergeCell ref="M64:N64"/>
    <mergeCell ref="C67:D67"/>
    <mergeCell ref="O73:P73"/>
    <mergeCell ref="C76:D76"/>
    <mergeCell ref="E76:F76"/>
    <mergeCell ref="G76:H76"/>
    <mergeCell ref="I76:J76"/>
    <mergeCell ref="K76:L76"/>
    <mergeCell ref="M76:N76"/>
    <mergeCell ref="O76:P76"/>
    <mergeCell ref="C73:D73"/>
    <mergeCell ref="E73:F73"/>
    <mergeCell ref="G73:H73"/>
    <mergeCell ref="I73:J73"/>
    <mergeCell ref="K73:L73"/>
    <mergeCell ref="M73:N73"/>
    <mergeCell ref="E75:F75"/>
    <mergeCell ref="G75:H75"/>
    <mergeCell ref="I75:J75"/>
    <mergeCell ref="K75:L75"/>
    <mergeCell ref="M75:N75"/>
    <mergeCell ref="O75:P75"/>
    <mergeCell ref="G78:H78"/>
    <mergeCell ref="I78:J78"/>
    <mergeCell ref="K78:L78"/>
    <mergeCell ref="M78:N78"/>
    <mergeCell ref="O78:P78"/>
    <mergeCell ref="C77:D77"/>
    <mergeCell ref="E77:F77"/>
    <mergeCell ref="G77:H77"/>
    <mergeCell ref="I77:J77"/>
    <mergeCell ref="K77:L77"/>
    <mergeCell ref="M77:N77"/>
    <mergeCell ref="M87:N87"/>
    <mergeCell ref="O83:P83"/>
    <mergeCell ref="C86:D86"/>
    <mergeCell ref="E86:F86"/>
    <mergeCell ref="G86:H86"/>
    <mergeCell ref="I86:J86"/>
    <mergeCell ref="K86:L86"/>
    <mergeCell ref="M86:N86"/>
    <mergeCell ref="O86:P86"/>
    <mergeCell ref="C83:D83"/>
    <mergeCell ref="E83:F83"/>
    <mergeCell ref="G83:H83"/>
    <mergeCell ref="I83:J83"/>
    <mergeCell ref="K83:L83"/>
    <mergeCell ref="M83:N83"/>
    <mergeCell ref="M85:N85"/>
    <mergeCell ref="O85:P85"/>
    <mergeCell ref="I92:J92"/>
    <mergeCell ref="K92:L92"/>
    <mergeCell ref="M92:N92"/>
    <mergeCell ref="O92:P92"/>
    <mergeCell ref="C91:D91"/>
    <mergeCell ref="E91:F91"/>
    <mergeCell ref="G91:H91"/>
    <mergeCell ref="I91:J91"/>
    <mergeCell ref="K91:L91"/>
    <mergeCell ref="M91:N91"/>
    <mergeCell ref="C96:D96"/>
    <mergeCell ref="E96:F96"/>
    <mergeCell ref="G96:H96"/>
    <mergeCell ref="I96:J96"/>
    <mergeCell ref="K96:L96"/>
    <mergeCell ref="M96:N96"/>
    <mergeCell ref="O96:P96"/>
    <mergeCell ref="C93:D93"/>
    <mergeCell ref="E93:F93"/>
    <mergeCell ref="G93:H93"/>
    <mergeCell ref="I93:J93"/>
    <mergeCell ref="K93:L93"/>
    <mergeCell ref="M93:N93"/>
    <mergeCell ref="G95:H95"/>
    <mergeCell ref="I95:J95"/>
    <mergeCell ref="K95:L95"/>
    <mergeCell ref="M95:N95"/>
    <mergeCell ref="O95:P95"/>
    <mergeCell ref="O97:P97"/>
    <mergeCell ref="C98:D98"/>
    <mergeCell ref="E98:F98"/>
    <mergeCell ref="G98:H98"/>
    <mergeCell ref="I98:J98"/>
    <mergeCell ref="K98:L98"/>
    <mergeCell ref="M98:N98"/>
    <mergeCell ref="O98:P98"/>
    <mergeCell ref="C97:D97"/>
    <mergeCell ref="E97:F97"/>
    <mergeCell ref="G97:H97"/>
    <mergeCell ref="I97:J97"/>
    <mergeCell ref="K97:L97"/>
    <mergeCell ref="M97:N97"/>
    <mergeCell ref="A8:A33"/>
    <mergeCell ref="A40:A65"/>
    <mergeCell ref="A73:A98"/>
    <mergeCell ref="A99:A102"/>
    <mergeCell ref="C100:D100"/>
    <mergeCell ref="E100:F100"/>
    <mergeCell ref="C101:D101"/>
    <mergeCell ref="E101:F101"/>
    <mergeCell ref="C102:D102"/>
    <mergeCell ref="E102:F102"/>
    <mergeCell ref="C68:D68"/>
    <mergeCell ref="E68:F68"/>
    <mergeCell ref="C69:D69"/>
    <mergeCell ref="E69:F69"/>
    <mergeCell ref="C12:D12"/>
    <mergeCell ref="E12:F12"/>
    <mergeCell ref="C95:D95"/>
    <mergeCell ref="E95:F95"/>
    <mergeCell ref="C47:D47"/>
    <mergeCell ref="E47:F47"/>
    <mergeCell ref="C15:D15"/>
    <mergeCell ref="E15:F15"/>
    <mergeCell ref="C20:D20"/>
    <mergeCell ref="E20:F20"/>
    <mergeCell ref="O17:P17"/>
    <mergeCell ref="C18:D18"/>
    <mergeCell ref="E18:F18"/>
    <mergeCell ref="G18:H18"/>
    <mergeCell ref="I18:J18"/>
    <mergeCell ref="K18:L18"/>
    <mergeCell ref="M18:N18"/>
    <mergeCell ref="O18:P18"/>
    <mergeCell ref="C17:D17"/>
    <mergeCell ref="E17:F17"/>
    <mergeCell ref="G17:H17"/>
    <mergeCell ref="I17:J17"/>
    <mergeCell ref="K17:L17"/>
    <mergeCell ref="M17:N17"/>
    <mergeCell ref="G20:H20"/>
    <mergeCell ref="I20:J20"/>
    <mergeCell ref="K20:L20"/>
    <mergeCell ref="M20:N20"/>
    <mergeCell ref="O20:P20"/>
    <mergeCell ref="O81:P81"/>
    <mergeCell ref="C82:D82"/>
    <mergeCell ref="E82:F82"/>
    <mergeCell ref="G82:H82"/>
    <mergeCell ref="I82:J82"/>
    <mergeCell ref="K82:L82"/>
    <mergeCell ref="M82:N82"/>
    <mergeCell ref="O82:P82"/>
    <mergeCell ref="C81:D81"/>
    <mergeCell ref="E81:F81"/>
    <mergeCell ref="G81:H81"/>
    <mergeCell ref="I81:J81"/>
    <mergeCell ref="K81:L81"/>
    <mergeCell ref="M81:N81"/>
    <mergeCell ref="O77:P77"/>
    <mergeCell ref="C30:D30"/>
    <mergeCell ref="E30:F30"/>
    <mergeCell ref="C78:D78"/>
    <mergeCell ref="E78:F78"/>
    <mergeCell ref="C90:D90"/>
    <mergeCell ref="E90:F90"/>
    <mergeCell ref="O93:P93"/>
    <mergeCell ref="O91:P91"/>
    <mergeCell ref="C92:D92"/>
    <mergeCell ref="E92:F92"/>
    <mergeCell ref="G92:H92"/>
    <mergeCell ref="C62:D62"/>
    <mergeCell ref="E62:F62"/>
    <mergeCell ref="G62:H62"/>
    <mergeCell ref="I62:J62"/>
    <mergeCell ref="K62:L62"/>
    <mergeCell ref="M62:N62"/>
    <mergeCell ref="O62:P62"/>
    <mergeCell ref="G90:H90"/>
    <mergeCell ref="I90:J90"/>
    <mergeCell ref="K90:L90"/>
    <mergeCell ref="M90:N90"/>
    <mergeCell ref="O90:P90"/>
    <mergeCell ref="O87:P87"/>
    <mergeCell ref="C88:D88"/>
    <mergeCell ref="E88:F88"/>
    <mergeCell ref="G88:H88"/>
    <mergeCell ref="I88:J88"/>
    <mergeCell ref="G30:H30"/>
    <mergeCell ref="I30:J30"/>
    <mergeCell ref="K30:L30"/>
    <mergeCell ref="M30:N30"/>
    <mergeCell ref="O30:P30"/>
    <mergeCell ref="C57:D57"/>
    <mergeCell ref="E57:F57"/>
    <mergeCell ref="G57:H57"/>
    <mergeCell ref="I57:J57"/>
    <mergeCell ref="K57:L57"/>
    <mergeCell ref="M57:N57"/>
    <mergeCell ref="O57:P57"/>
    <mergeCell ref="G47:H47"/>
    <mergeCell ref="I47:J47"/>
    <mergeCell ref="K47:L47"/>
    <mergeCell ref="I55:J55"/>
    <mergeCell ref="K55:L55"/>
    <mergeCell ref="M55:N55"/>
    <mergeCell ref="O55:P55"/>
    <mergeCell ref="C54:D54"/>
    <mergeCell ref="E54:F54"/>
    <mergeCell ref="G54:H54"/>
    <mergeCell ref="M47:N47"/>
    <mergeCell ref="O47:P47"/>
    <mergeCell ref="O54:P54"/>
    <mergeCell ref="C55:D55"/>
    <mergeCell ref="E55:F55"/>
    <mergeCell ref="G55:H55"/>
    <mergeCell ref="K88:L88"/>
    <mergeCell ref="M88:N88"/>
    <mergeCell ref="O88:P88"/>
    <mergeCell ref="C87:D87"/>
    <mergeCell ref="E87:F87"/>
    <mergeCell ref="G87:H87"/>
    <mergeCell ref="I87:J87"/>
    <mergeCell ref="G80:H80"/>
    <mergeCell ref="I80:J80"/>
    <mergeCell ref="K80:L80"/>
    <mergeCell ref="M80:N80"/>
    <mergeCell ref="O80:P80"/>
    <mergeCell ref="C85:D85"/>
    <mergeCell ref="E85:F85"/>
    <mergeCell ref="G85:H85"/>
    <mergeCell ref="I85:J85"/>
    <mergeCell ref="K85:L85"/>
    <mergeCell ref="C80:D80"/>
    <mergeCell ref="E80:F80"/>
    <mergeCell ref="K87:L87"/>
  </mergeCells>
  <conditionalFormatting sqref="C15 E15 G15">
    <cfRule type="expression" dxfId="264" priority="41">
      <formula>C14=""</formula>
    </cfRule>
  </conditionalFormatting>
  <conditionalFormatting sqref="C95">
    <cfRule type="expression" dxfId="263" priority="11">
      <formula>C94=""</formula>
    </cfRule>
  </conditionalFormatting>
  <conditionalFormatting sqref="C67:D67">
    <cfRule type="expression" dxfId="262" priority="69">
      <formula>C66=""</formula>
    </cfRule>
  </conditionalFormatting>
  <conditionalFormatting sqref="C35:F35">
    <cfRule type="expression" dxfId="261" priority="169">
      <formula>C34=""</formula>
    </cfRule>
  </conditionalFormatting>
  <conditionalFormatting sqref="C68:F68">
    <cfRule type="expression" dxfId="260" priority="164">
      <formula>C66=""</formula>
    </cfRule>
  </conditionalFormatting>
  <conditionalFormatting sqref="C69:F69">
    <cfRule type="expression" dxfId="259" priority="163">
      <formula>C66=""</formula>
    </cfRule>
  </conditionalFormatting>
  <conditionalFormatting sqref="C70:F70 I78:P78 C83:D83 I83:P83 C88:P88 C93:P93">
    <cfRule type="expression" dxfId="258" priority="162">
      <formula>C66=""</formula>
    </cfRule>
  </conditionalFormatting>
  <conditionalFormatting sqref="C78:F78">
    <cfRule type="expression" dxfId="257" priority="12">
      <formula>C74=""</formula>
    </cfRule>
  </conditionalFormatting>
  <conditionalFormatting sqref="C100:F100">
    <cfRule type="expression" dxfId="256" priority="159">
      <formula>C99=""</formula>
    </cfRule>
  </conditionalFormatting>
  <conditionalFormatting sqref="C101:F101">
    <cfRule type="expression" dxfId="255" priority="158">
      <formula>C99=""</formula>
    </cfRule>
  </conditionalFormatting>
  <conditionalFormatting sqref="C102:F102">
    <cfRule type="expression" dxfId="254" priority="157">
      <formula>C99=""</formula>
    </cfRule>
  </conditionalFormatting>
  <conditionalFormatting sqref="C11:H11 C16:H16 O16:P16 O21:P21 O26:P26 O31:P31 C36:F36 C43:N43 O48:P48 O53:P53 O58:P58 C76:D76 O76:P76 O81:P81 O96:P96">
    <cfRule type="expression" dxfId="253" priority="168">
      <formula>C9=""</formula>
    </cfRule>
  </conditionalFormatting>
  <conditionalFormatting sqref="C17:H17 O17:P17 O22:P22 O27:P27 O32:P32 C37:F37 C44:N44 O49:P49 O54:P54 O59:P59 C77:D77 O77:P77 O82:P82">
    <cfRule type="expression" dxfId="252" priority="167">
      <formula>C14=""</formula>
    </cfRule>
  </conditionalFormatting>
  <conditionalFormatting sqref="C18:J18 M18:P18 C23:P23 C28:P28 C33:P33 C45:P45 C50:F50 I50:P50 C55:D55 I55:P55 C60:P60 C65:P65">
    <cfRule type="expression" dxfId="251" priority="278">
      <formula>C14=""</formula>
    </cfRule>
  </conditionalFormatting>
  <conditionalFormatting sqref="C12:P12">
    <cfRule type="expression" dxfId="250" priority="37">
      <formula>C9=""</formula>
    </cfRule>
  </conditionalFormatting>
  <conditionalFormatting sqref="C13:P13">
    <cfRule type="expression" dxfId="249" priority="36">
      <formula>C9=""</formula>
    </cfRule>
  </conditionalFormatting>
  <conditionalFormatting sqref="C98:P98">
    <cfRule type="expression" dxfId="248" priority="8">
      <formula>C94=""</formula>
    </cfRule>
  </conditionalFormatting>
  <conditionalFormatting sqref="D9:D10 F9:F10 H9:H10 D14 P14 D19 F19 H19 J19 L19 N19 P19 D24 F24 H24 J24 L24 N24 P24 D29 F29 H29 J29 L29 N29 P29 D34 F34">
    <cfRule type="expression" dxfId="247" priority="170">
      <formula>C9=""</formula>
    </cfRule>
  </conditionalFormatting>
  <conditionalFormatting sqref="E74 G74 I74 K74 M74 O74 C74:C75 C79 E79 G79 I79 K79 M79 O79 C84 E84 G84 I84 K84 M84 O84 C89 E89 G89 I89 K89 M89 O89 C94 E94 G94 I94 C99 E99">
    <cfRule type="expression" dxfId="246" priority="161">
      <formula>C74=""</formula>
    </cfRule>
  </conditionalFormatting>
  <conditionalFormatting sqref="G50:H50">
    <cfRule type="expression" dxfId="245" priority="14">
      <formula>G49=""</formula>
    </cfRule>
  </conditionalFormatting>
  <conditionalFormatting sqref="G55:H55">
    <cfRule type="expression" dxfId="244" priority="15">
      <formula>G54=""</formula>
    </cfRule>
  </conditionalFormatting>
  <conditionalFormatting sqref="G78:H78">
    <cfRule type="expression" dxfId="243" priority="13">
      <formula>G77=""</formula>
    </cfRule>
  </conditionalFormatting>
  <conditionalFormatting sqref="G83:H83">
    <cfRule type="expression" dxfId="242" priority="4">
      <formula>G82=""</formula>
    </cfRule>
  </conditionalFormatting>
  <conditionalFormatting sqref="I9 C9:C10 E9:E10 G9:G10 C14 E14 G14 I14 K14 M14 O14 C19 E19 G19 I19 K19 M19 O19 C24 E24 G24 I24 K24 M24 O24 C29 E29 G29 I29 K29 M29 O29 C34 E34">
    <cfRule type="expression" dxfId="241" priority="171">
      <formula>C9=""</formula>
    </cfRule>
  </conditionalFormatting>
  <conditionalFormatting sqref="I11">
    <cfRule type="expression" dxfId="240" priority="34">
      <formula>I10=""</formula>
    </cfRule>
  </conditionalFormatting>
  <conditionalFormatting sqref="I15">
    <cfRule type="expression" dxfId="239" priority="40">
      <formula>I14=""</formula>
    </cfRule>
  </conditionalFormatting>
  <conditionalFormatting sqref="I25">
    <cfRule type="expression" dxfId="238" priority="21">
      <formula>I24=""</formula>
    </cfRule>
  </conditionalFormatting>
  <conditionalFormatting sqref="I10:J10">
    <cfRule type="expression" dxfId="237" priority="35">
      <formula>I8=""</formula>
    </cfRule>
  </conditionalFormatting>
  <conditionalFormatting sqref="I28:J28">
    <cfRule type="expression" dxfId="236" priority="22">
      <formula>I25=""</formula>
    </cfRule>
  </conditionalFormatting>
  <conditionalFormatting sqref="K94">
    <cfRule type="expression" dxfId="235" priority="10">
      <formula>K94=""</formula>
    </cfRule>
  </conditionalFormatting>
  <conditionalFormatting sqref="K96:L96">
    <cfRule type="expression" dxfId="234" priority="1">
      <formula>K94=""</formula>
    </cfRule>
  </conditionalFormatting>
  <conditionalFormatting sqref="K11:N11">
    <cfRule type="expression" dxfId="233" priority="27">
      <formula>K10=""</formula>
    </cfRule>
  </conditionalFormatting>
  <conditionalFormatting sqref="K97:P97">
    <cfRule type="expression" dxfId="232" priority="9">
      <formula>K94=""</formula>
    </cfRule>
  </conditionalFormatting>
  <conditionalFormatting sqref="M96">
    <cfRule type="expression" dxfId="231" priority="5">
      <formula>M95=""</formula>
    </cfRule>
  </conditionalFormatting>
  <conditionalFormatting sqref="O41 C41:C42 E41:E42 G41:G42 I41:I42 K41:K42 M41:M42 C46 E46 G46 I46 K46 M46 O46 C51 E51 G51 I51 K51 M51 O51 C56 E56 G56 I56 K56 M56 O56 C61 E61 G61 I61 K61 M61 O61 C66 E66:E67">
    <cfRule type="expression" dxfId="230" priority="166">
      <formula>C41=""</formula>
    </cfRule>
  </conditionalFormatting>
  <conditionalFormatting sqref="O42">
    <cfRule type="expression" dxfId="229" priority="3">
      <formula>O41=""</formula>
    </cfRule>
  </conditionalFormatting>
  <conditionalFormatting sqref="O62">
    <cfRule type="expression" dxfId="228" priority="2">
      <formula>O61=""</formula>
    </cfRule>
  </conditionalFormatting>
  <conditionalFormatting sqref="O85">
    <cfRule type="expression" dxfId="227" priority="26">
      <formula>O84=""</formula>
    </cfRule>
  </conditionalFormatting>
  <conditionalFormatting sqref="O90">
    <cfRule type="expression" dxfId="226" priority="25">
      <formula>O89=""</formula>
    </cfRule>
  </conditionalFormatting>
  <conditionalFormatting sqref="O10:P11">
    <cfRule type="expression" dxfId="225" priority="24">
      <formula>O8=""</formula>
    </cfRule>
  </conditionalFormatting>
  <conditionalFormatting sqref="O15:P15">
    <cfRule type="expression" dxfId="224" priority="148">
      <formula>O14=""</formula>
    </cfRule>
  </conditionalFormatting>
  <conditionalFormatting sqref="O20:P20">
    <cfRule type="expression" dxfId="223" priority="141">
      <formula>O19=""</formula>
    </cfRule>
  </conditionalFormatting>
  <conditionalFormatting sqref="O25:P25">
    <cfRule type="expression" dxfId="222" priority="62">
      <formula>O24=""</formula>
    </cfRule>
  </conditionalFormatting>
  <conditionalFormatting sqref="O30:P30">
    <cfRule type="expression" dxfId="221" priority="55">
      <formula>O29=""</formula>
    </cfRule>
  </conditionalFormatting>
  <conditionalFormatting sqref="O47:P47">
    <cfRule type="expression" dxfId="220" priority="91">
      <formula>O46=""</formula>
    </cfRule>
  </conditionalFormatting>
  <conditionalFormatting sqref="O52:P52">
    <cfRule type="expression" dxfId="219" priority="84">
      <formula>O51=""</formula>
    </cfRule>
  </conditionalFormatting>
  <conditionalFormatting sqref="O57:P57">
    <cfRule type="expression" dxfId="218" priority="77">
      <formula>O56=""</formula>
    </cfRule>
  </conditionalFormatting>
  <conditionalFormatting sqref="O75:P75">
    <cfRule type="expression" dxfId="217" priority="99">
      <formula>O74=""</formula>
    </cfRule>
  </conditionalFormatting>
  <conditionalFormatting sqref="O80:P80">
    <cfRule type="expression" dxfId="216" priority="128">
      <formula>O79=""</formula>
    </cfRule>
  </conditionalFormatting>
  <conditionalFormatting sqref="P41 D41:D42 F41:F42 H41:H42 J41:J42 L41:L42 N41:N42 D46 P46 D51 P51 D56 F56 H56 J56 L56 N56 P56 D61 F61 H61 J61 L61 N61 P61 D66 F66:F67">
    <cfRule type="expression" dxfId="215" priority="165">
      <formula>C41=""</formula>
    </cfRule>
  </conditionalFormatting>
  <conditionalFormatting sqref="P74 D74:D75 D79 L79 N79 P79 D84 F84 H84 J84 L84 N84 P84 D89 F89 H89 J89 L89 N89 P89 D94 F94 H94 J94 D99 F99">
    <cfRule type="expression" dxfId="214" priority="160">
      <formula>C74=""</formula>
    </cfRule>
  </conditionalFormatting>
  <printOptions horizontalCentered="1"/>
  <pageMargins left="0.35" right="0.35" top="0.25" bottom="0.4" header="0.25" footer="0.25"/>
  <pageSetup scale="81" orientation="portrait" r:id="rId1"/>
  <ignoredErrors>
    <ignoredError sqref="E33:P35 E102:P103 E101:O101 E39:P39 E36:H38 E72:P72 E69:H71 E68:P68 E99:P100 E9:I9 E14 E19:P19 E23:P23 E29:P29 E41:P41 E45:P45 F50 E56:P56 E60:P60 E65:P66 E74 E79 E84:P84 E89:P89 E93:P93 O76:P76 E16:H16 O16:P16 E11:H13 K12:P13 O11:P11 G14 I14 K14 M14 O14:P14 E24:I24 K24:P24 O26:P26 E17:H17 O17:P17 E18:J18 M18:P18 O21:P22 O27:P27 O31:P32 E28:H28 K28:P28 O48:P49 O53:P54 O58:P59 O81:P82 O96:P97 E46 G46 I46 K46 M46 O46:P46 E51 G51 I51 K51 M51 O51:P51 I55:P55 I50:P50 O77:P77 E61:M61 O61:P61 I78:P78 E98:J98 O98:P98 E94:J94 G74 I74 K74 M74 O74:P74 G79 I79 K79:P79 I83:P83 E88:F88 H88:P88 E43:N4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382EF-5A6B-4F49-90D8-8E5AD7231262}">
  <sheetPr>
    <pageSetUpPr fitToPage="1"/>
  </sheetPr>
  <dimension ref="A1:R86"/>
  <sheetViews>
    <sheetView showGridLines="0" topLeftCell="A4" zoomScale="80" zoomScaleNormal="80" workbookViewId="0">
      <selection activeCell="K4" sqref="K4"/>
    </sheetView>
  </sheetViews>
  <sheetFormatPr defaultRowHeight="8.4" customHeight="1" x14ac:dyDescent="0.25"/>
  <cols>
    <col min="2" max="2" width="2.77734375" customWidth="1"/>
    <col min="3" max="3" width="4.33203125" customWidth="1"/>
    <col min="4" max="4" width="8.33203125" customWidth="1"/>
    <col min="5" max="5" width="4.33203125" customWidth="1"/>
    <col min="6" max="6" width="8.33203125" customWidth="1"/>
    <col min="7" max="7" width="4.33203125" customWidth="1"/>
    <col min="8" max="8" width="8.33203125" customWidth="1"/>
    <col min="9" max="9" width="4.33203125" customWidth="1"/>
    <col min="10" max="10" width="8.33203125" customWidth="1"/>
    <col min="11" max="11" width="4.33203125" customWidth="1"/>
    <col min="12" max="12" width="8.44140625" customWidth="1"/>
    <col min="13" max="13" width="4.33203125" customWidth="1"/>
    <col min="14" max="14" width="8.21875" customWidth="1"/>
    <col min="15" max="15" width="4.33203125" customWidth="1"/>
    <col min="16" max="16" width="8.33203125" customWidth="1"/>
    <col min="17" max="17" width="0.5546875" customWidth="1"/>
    <col min="18" max="18" width="13.21875" style="134" customWidth="1"/>
  </cols>
  <sheetData>
    <row r="1" spans="1:18" ht="10.199999999999999" hidden="1" customHeight="1" x14ac:dyDescent="0.25">
      <c r="C1" s="130" t="s">
        <v>88</v>
      </c>
      <c r="D1" s="45"/>
      <c r="E1" s="45"/>
      <c r="F1" s="4"/>
      <c r="G1" s="4"/>
      <c r="H1" s="45"/>
      <c r="I1" s="45"/>
      <c r="J1" s="45"/>
      <c r="K1" s="45"/>
      <c r="L1" s="4"/>
      <c r="M1" s="46"/>
      <c r="N1" s="4"/>
      <c r="O1" s="47"/>
      <c r="P1" s="42"/>
    </row>
    <row r="2" spans="1:18" ht="10.199999999999999" hidden="1" customHeight="1" x14ac:dyDescent="0.25">
      <c r="C2" s="10" t="s">
        <v>11</v>
      </c>
      <c r="D2" s="11">
        <v>2026</v>
      </c>
      <c r="E2" s="4"/>
      <c r="F2" s="4"/>
      <c r="G2" s="43" t="s">
        <v>86</v>
      </c>
      <c r="H2" s="11">
        <v>1</v>
      </c>
      <c r="I2" s="10"/>
      <c r="J2" s="10"/>
      <c r="K2" s="43" t="s">
        <v>87</v>
      </c>
      <c r="L2" s="11">
        <v>1</v>
      </c>
      <c r="M2" s="12" t="s">
        <v>0</v>
      </c>
      <c r="N2" s="12"/>
      <c r="O2" s="13"/>
      <c r="P2" s="14" t="s">
        <v>77</v>
      </c>
    </row>
    <row r="3" spans="1:18" ht="10.199999999999999" hidden="1" customHeight="1" x14ac:dyDescent="0.25">
      <c r="C3" s="4"/>
      <c r="D3" s="4"/>
      <c r="E3" s="4"/>
      <c r="F3" s="4"/>
      <c r="G3" s="4"/>
      <c r="H3" s="4"/>
      <c r="I3" s="4"/>
      <c r="J3" s="4"/>
      <c r="K3" s="4"/>
      <c r="L3" s="4"/>
      <c r="M3" s="4"/>
      <c r="N3" s="4"/>
      <c r="O3" s="4"/>
      <c r="P3" s="49" t="s">
        <v>91</v>
      </c>
    </row>
    <row r="4" spans="1:18" ht="10.199999999999999" customHeight="1" x14ac:dyDescent="0.25"/>
    <row r="5" spans="1:18" ht="18" customHeight="1" x14ac:dyDescent="0.25">
      <c r="C5" s="131" t="s">
        <v>169</v>
      </c>
      <c r="I5" s="210"/>
      <c r="J5" s="210"/>
      <c r="K5" s="210"/>
      <c r="L5" s="210"/>
      <c r="M5" s="210"/>
      <c r="N5" s="210"/>
      <c r="O5" s="210"/>
      <c r="P5" s="210"/>
    </row>
    <row r="6" spans="1:18" ht="8.4" customHeight="1" x14ac:dyDescent="0.25">
      <c r="D6" s="57"/>
      <c r="E6" s="57"/>
      <c r="F6" s="57"/>
      <c r="G6" s="57"/>
      <c r="H6" s="57"/>
      <c r="I6" s="210"/>
      <c r="J6" s="210"/>
      <c r="K6" s="210"/>
      <c r="L6" s="210"/>
      <c r="M6" s="210"/>
      <c r="N6" s="210"/>
      <c r="O6" s="210"/>
      <c r="P6" s="210"/>
    </row>
    <row r="7" spans="1:18" s="1" customFormat="1" ht="8.4" hidden="1" customHeight="1" x14ac:dyDescent="0.25">
      <c r="C7" t="s">
        <v>1</v>
      </c>
      <c r="D7" s="6">
        <f>DATE(D2,H2,1)</f>
        <v>46023</v>
      </c>
      <c r="R7" s="135"/>
    </row>
    <row r="8" spans="1:18" s="2" customFormat="1" ht="18" customHeight="1" x14ac:dyDescent="0.25">
      <c r="A8" s="143">
        <f>D7</f>
        <v>46023</v>
      </c>
      <c r="C8" s="144" t="s">
        <v>109</v>
      </c>
      <c r="D8" s="145"/>
      <c r="E8" s="144" t="s">
        <v>110</v>
      </c>
      <c r="F8" s="145"/>
      <c r="G8" s="144" t="s">
        <v>111</v>
      </c>
      <c r="H8" s="145"/>
      <c r="I8" s="144" t="s">
        <v>112</v>
      </c>
      <c r="J8" s="145"/>
      <c r="K8" s="144" t="s">
        <v>113</v>
      </c>
      <c r="L8" s="145"/>
      <c r="M8" s="144" t="s">
        <v>114</v>
      </c>
      <c r="N8" s="145"/>
      <c r="O8" s="144" t="s">
        <v>115</v>
      </c>
      <c r="P8" s="145"/>
      <c r="R8" s="136" t="s">
        <v>132</v>
      </c>
    </row>
    <row r="9" spans="1:18" s="2" customFormat="1" ht="10.8" customHeight="1" x14ac:dyDescent="0.25">
      <c r="A9" s="143"/>
      <c r="C9" s="102" t="str">
        <f>IF(WEEKDAY($D$7,1)=startday,$D$7,"")</f>
        <v/>
      </c>
      <c r="D9" s="52" t="str">
        <f>IFERROR(INDEX(Events!$A:$A,MATCH(C9,Events!$G:$G,0)),"")</f>
        <v/>
      </c>
      <c r="E9" s="50" t="str">
        <f>IF(C9="",IF(WEEKDAY($D$7,1)=MOD(startday,7)+1,$D$7,""),C9+1)</f>
        <v/>
      </c>
      <c r="F9" s="52" t="str">
        <f>IFERROR(INDEX(Events!$A:$A,MATCH(E9,Events!$G:$G,0)),"")</f>
        <v/>
      </c>
      <c r="G9" s="50" t="str">
        <f>IF(E9="",IF(WEEKDAY($D$7,1)=MOD(startday+1,7)+1,$D$7,""),E9+1)</f>
        <v/>
      </c>
      <c r="H9" s="52" t="str">
        <f>IFERROR(INDEX(Events!$A:$A,MATCH(G9,Events!$G:$G,0)),"")</f>
        <v/>
      </c>
      <c r="I9" s="50" t="str">
        <f>IF(G9="",IF(WEEKDAY($D$7,1)=MOD(startday+2,7)+1,$D$7,""),G9+1)</f>
        <v/>
      </c>
      <c r="J9" s="52" t="str">
        <f>IFERROR(INDEX(Events!$A:$A,MATCH(I9,Events!$G:$G,0)),"")</f>
        <v/>
      </c>
      <c r="K9" s="50">
        <f>IF(I9="",IF(WEEKDAY($D$7,1)=MOD(startday+3,7)+1,$D$7,""),I9+1)</f>
        <v>46023</v>
      </c>
      <c r="L9" s="52" t="s">
        <v>188</v>
      </c>
      <c r="M9" s="50">
        <f>IF(K9="",IF(WEEKDAY($D$7,1)=MOD(startday+4,7)+1,$D$7,""),K9+1)</f>
        <v>46024</v>
      </c>
      <c r="N9" s="97" t="s">
        <v>141</v>
      </c>
      <c r="O9" s="50">
        <f>IF(M9="",IF(WEEKDAY($D$7,1)=MOD(startday+5,7)+1,$D$7,""),M9+1)</f>
        <v>46025</v>
      </c>
      <c r="P9" s="52" t="str">
        <f>IFERROR(INDEX(Events!$A:$A,MATCH(O9,Events!$G:$G,0)),"")</f>
        <v/>
      </c>
      <c r="R9" s="231" t="s">
        <v>124</v>
      </c>
    </row>
    <row r="10" spans="1:18" s="53" customFormat="1" ht="10.8" customHeight="1" x14ac:dyDescent="0.25">
      <c r="A10" s="143"/>
      <c r="C10" s="146" t="str">
        <f ca="1">IFERROR(INDEX(Events!$A:$A,MATCH(C9,Events!$H:$H,0)),"")</f>
        <v/>
      </c>
      <c r="D10" s="147" t="str">
        <f ca="1">IFERROR(INDEX(Events!#REF!,MATCH(C10,Events!A:A,0)),"")</f>
        <v/>
      </c>
      <c r="E10" s="146" t="str">
        <f ca="1">IFERROR(INDEX(Events!$A:$A,MATCH(E9,Events!$H:$H,0)),"")</f>
        <v/>
      </c>
      <c r="F10" s="147" t="str">
        <f ca="1">IFERROR(INDEX(Events!#REF!,MATCH(E10,Events!C:C,0)),"")</f>
        <v/>
      </c>
      <c r="G10" s="146" t="str">
        <f ca="1">IFERROR(INDEX(Events!$A:$A,MATCH(G9,Events!$H:$H,0)),"")</f>
        <v/>
      </c>
      <c r="H10" s="147" t="str">
        <f ca="1">IFERROR(INDEX(Events!#REF!,MATCH(G10,Events!E:E,0)),"")</f>
        <v/>
      </c>
      <c r="I10" s="146" t="str">
        <f ca="1">IFERROR(INDEX(Events!$A:$A,MATCH(I9,Events!$H:$H,0)),"")</f>
        <v/>
      </c>
      <c r="J10" s="147" t="str">
        <f ca="1">IFERROR(INDEX(Events!A:A,MATCH(I10,Events!G:G,0)),"")</f>
        <v/>
      </c>
      <c r="K10" s="146"/>
      <c r="L10" s="147"/>
      <c r="M10" s="151" t="s">
        <v>116</v>
      </c>
      <c r="N10" s="152" t="str">
        <f>IFERROR(INDEX(Events!E:E,MATCH(M10,Events!K:K,0)),"")</f>
        <v/>
      </c>
      <c r="O10" s="146" t="str">
        <f ca="1">IFERROR(INDEX(Events!$A:$A,MATCH(O9,Events!$H:$H,0)),"")</f>
        <v/>
      </c>
      <c r="P10" s="147" t="str">
        <f ca="1">IFERROR(INDEX(Events!G:G,MATCH(O10,Events!K:K,0)),"")</f>
        <v/>
      </c>
      <c r="R10" s="231"/>
    </row>
    <row r="11" spans="1:18" s="53" customFormat="1" ht="10.8" customHeight="1" x14ac:dyDescent="0.25">
      <c r="A11" s="143"/>
      <c r="C11" s="146" t="str">
        <f ca="1">IFERROR(INDEX(Events!$A:$A,MATCH(C9,Events!$I:$I,0)),"")</f>
        <v/>
      </c>
      <c r="D11" s="147"/>
      <c r="E11" s="146" t="str">
        <f ca="1">IFERROR(INDEX(Events!$A:$A,MATCH(E9,Events!$I:$I,0)),"")</f>
        <v/>
      </c>
      <c r="F11" s="147"/>
      <c r="G11" s="146" t="str">
        <f ca="1">IFERROR(INDEX(Events!$A:$A,MATCH(G9,Events!$I:$I,0)),"")</f>
        <v/>
      </c>
      <c r="H11" s="147"/>
      <c r="I11" s="146" t="str">
        <f ca="1">IFERROR(INDEX(Events!$A:$A,MATCH(I9,Events!$I:$I,0)),"")</f>
        <v/>
      </c>
      <c r="J11" s="147"/>
      <c r="K11" s="146"/>
      <c r="L11" s="147"/>
      <c r="M11" s="151"/>
      <c r="N11" s="152"/>
      <c r="O11" s="146" t="str">
        <f ca="1">IFERROR(INDEX(Events!$A:$A,MATCH(O9,Events!$I:$I,0)),"")</f>
        <v/>
      </c>
      <c r="P11" s="147"/>
      <c r="R11" s="231"/>
    </row>
    <row r="12" spans="1:18" s="53" customFormat="1" ht="10.8" customHeight="1" x14ac:dyDescent="0.25">
      <c r="A12" s="143"/>
      <c r="C12" s="146" t="str">
        <f ca="1">IFERROR(INDEX(Events!$A:$A,MATCH(C9,Events!$J:$J,0)),"")</f>
        <v/>
      </c>
      <c r="D12" s="147"/>
      <c r="E12" s="146" t="str">
        <f ca="1">IFERROR(INDEX(Events!$A:$A,MATCH(E9,Events!$J:$J,0)),"")</f>
        <v/>
      </c>
      <c r="F12" s="147"/>
      <c r="G12" s="146" t="str">
        <f ca="1">IFERROR(INDEX(Events!$A:$A,MATCH(G9,Events!$J:$J,0)),"")</f>
        <v/>
      </c>
      <c r="H12" s="147"/>
      <c r="I12" s="146" t="str">
        <f ca="1">IFERROR(INDEX(Events!$A:$A,MATCH(I9,Events!$J:$J,0)),"")</f>
        <v/>
      </c>
      <c r="J12" s="147"/>
      <c r="K12" s="146"/>
      <c r="L12" s="147"/>
      <c r="M12" s="151" t="s">
        <v>123</v>
      </c>
      <c r="N12" s="152"/>
      <c r="O12" s="146" t="str">
        <f ca="1">IFERROR(INDEX(Events!$A:$A,MATCH(O9,Events!$J:$J,0)),"")</f>
        <v/>
      </c>
      <c r="P12" s="147"/>
      <c r="R12" s="231"/>
    </row>
    <row r="13" spans="1:18" s="2" customFormat="1" ht="10.8" customHeight="1" x14ac:dyDescent="0.25">
      <c r="A13" s="143"/>
      <c r="C13" s="102">
        <f>IF(O9="","",IF(MONTH(O9+1)&lt;&gt;MONTH(O9),"",O9+1))</f>
        <v>46026</v>
      </c>
      <c r="D13" s="52" t="str">
        <f>IFERROR(INDEX(Events!$A:$A,MATCH(C13,Events!$G:$G,0)),"")</f>
        <v/>
      </c>
      <c r="E13" s="50">
        <f>IF(C13="","",IF(MONTH(C13+1)&lt;&gt;MONTH(C13),"",C13+1))</f>
        <v>46027</v>
      </c>
      <c r="F13" s="97" t="s">
        <v>142</v>
      </c>
      <c r="G13" s="50">
        <f>IF(E13="","",IF(MONTH(E13+1)&lt;&gt;MONTH(E13),"",E13+1))</f>
        <v>46028</v>
      </c>
      <c r="H13" s="97" t="s">
        <v>150</v>
      </c>
      <c r="I13" s="50">
        <f>IF(G13="","",IF(MONTH(G13+1)&lt;&gt;MONTH(G13),"",G13+1))</f>
        <v>46029</v>
      </c>
      <c r="J13" s="97" t="s">
        <v>143</v>
      </c>
      <c r="K13" s="50">
        <f>IF(I13="","",IF(MONTH(I13+1)&lt;&gt;MONTH(I13),"",I13+1))</f>
        <v>46030</v>
      </c>
      <c r="L13" s="97" t="s">
        <v>144</v>
      </c>
      <c r="M13" s="50">
        <f>IF(K13="","",IF(MONTH(K13+1)&lt;&gt;MONTH(K13),"",K13+1))</f>
        <v>46031</v>
      </c>
      <c r="N13" s="97" t="s">
        <v>145</v>
      </c>
      <c r="O13" s="50">
        <f>IF(M13="","",IF(MONTH(M13+1)&lt;&gt;MONTH(M13),"",M13+1))</f>
        <v>46032</v>
      </c>
      <c r="P13" s="97" t="s">
        <v>146</v>
      </c>
      <c r="R13" s="230" t="s">
        <v>125</v>
      </c>
    </row>
    <row r="14" spans="1:18" s="53" customFormat="1" ht="10.8" customHeight="1" x14ac:dyDescent="0.25">
      <c r="A14" s="143"/>
      <c r="C14" s="146" t="str">
        <f ca="1">IFERROR(INDEX(Events!$A:$A,MATCH(C13,Events!$H:$H,0)),"")</f>
        <v/>
      </c>
      <c r="D14" s="147" t="str">
        <f ca="1">IFERROR(INDEX(Events!#REF!,MATCH(C14,Events!A:A,0)),"")</f>
        <v/>
      </c>
      <c r="E14" s="146" t="str">
        <f ca="1">IFERROR(INDEX(Events!$A:$A,MATCH(E13,Events!$H:$H,0)),"")</f>
        <v/>
      </c>
      <c r="F14" s="147" t="str">
        <f ca="1">IFERROR(INDEX(Events!#REF!,MATCH(E14,Events!C:C,0)),"")</f>
        <v/>
      </c>
      <c r="G14" s="146" t="str">
        <f ca="1">IFERROR(INDEX(Events!$A:$A,MATCH(G13,Events!$H:$H,0)),"")</f>
        <v/>
      </c>
      <c r="H14" s="147" t="str">
        <f ca="1">IFERROR(INDEX(Events!#REF!,MATCH(G14,Events!E:E,0)),"")</f>
        <v/>
      </c>
      <c r="I14" s="158" t="s">
        <v>117</v>
      </c>
      <c r="J14" s="216" t="str">
        <f>IFERROR(INDEX(Events!A:A,MATCH(I14,Events!G:G,0)),"")</f>
        <v/>
      </c>
      <c r="K14" s="146" t="str">
        <f ca="1">IFERROR(INDEX(Events!$A:$A,MATCH(K13,Events!$H:$H,0)),"")</f>
        <v/>
      </c>
      <c r="L14" s="147" t="str">
        <f ca="1">IFERROR(INDEX(Events!C:C,MATCH(K14,Events!G:G,0)),"")</f>
        <v/>
      </c>
      <c r="M14" s="193" t="s">
        <v>119</v>
      </c>
      <c r="N14" s="167" t="str">
        <f>IFERROR(INDEX(Events!E:E,MATCH(M14,Events!#REF!,0)),"")</f>
        <v/>
      </c>
      <c r="O14" s="146" t="str">
        <f ca="1">IFERROR(INDEX(Events!$A:$A,MATCH(O13,Events!$H:$H,0)),"")</f>
        <v/>
      </c>
      <c r="P14" s="147" t="str">
        <f ca="1">IFERROR(INDEX(Events!G:G,MATCH(O14,Events!K:K,0)),"")</f>
        <v/>
      </c>
      <c r="R14" s="230"/>
    </row>
    <row r="15" spans="1:18" s="53" customFormat="1" ht="10.8" customHeight="1" x14ac:dyDescent="0.25">
      <c r="A15" s="143"/>
      <c r="C15" s="146" t="str">
        <f ca="1">IFERROR(INDEX(Events!$A:$A,MATCH(C13,Events!$I:$I,0)),"")</f>
        <v/>
      </c>
      <c r="D15" s="147"/>
      <c r="E15" s="146" t="str">
        <f ca="1">IFERROR(INDEX(Events!$A:$A,MATCH(E13,Events!$I:$I,0)),"")</f>
        <v/>
      </c>
      <c r="F15" s="147"/>
      <c r="G15" s="146" t="str">
        <f ca="1">IFERROR(INDEX(Events!$A:$A,MATCH(G13,Events!$I:$I,0)),"")</f>
        <v/>
      </c>
      <c r="H15" s="147"/>
      <c r="I15" s="158" t="s">
        <v>118</v>
      </c>
      <c r="J15" s="216"/>
      <c r="K15" s="146" t="str">
        <f ca="1">IFERROR(INDEX(Events!$A:$A,MATCH(K13,Events!$I:$I,0)),"")</f>
        <v/>
      </c>
      <c r="L15" s="147"/>
      <c r="M15" s="146" t="str">
        <f ca="1">IFERROR(INDEX(Events!$A:$A,MATCH(M13,Events!$I:$I,0)),"")</f>
        <v/>
      </c>
      <c r="N15" s="147"/>
      <c r="O15" s="146" t="str">
        <f ca="1">IFERROR(INDEX(Events!$A:$A,MATCH(O13,Events!$I:$I,0)),"")</f>
        <v/>
      </c>
      <c r="P15" s="147"/>
      <c r="R15" s="230"/>
    </row>
    <row r="16" spans="1:18" s="53" customFormat="1" ht="10.8" customHeight="1" x14ac:dyDescent="0.25">
      <c r="A16" s="143"/>
      <c r="C16" s="146" t="str">
        <f ca="1">IFERROR(INDEX(Events!$A:$A,MATCH(C13,Events!$J:$J,0)),"")</f>
        <v/>
      </c>
      <c r="D16" s="147"/>
      <c r="E16" s="146" t="str">
        <f ca="1">IFERROR(INDEX(Events!$A:$A,MATCH(E13,Events!$J:$J,0)),"")</f>
        <v/>
      </c>
      <c r="F16" s="147"/>
      <c r="G16" s="146" t="str">
        <f ca="1">IFERROR(INDEX(Events!$A:$A,MATCH(G13,Events!$J:$J,0)),"")</f>
        <v/>
      </c>
      <c r="H16" s="147"/>
      <c r="I16" s="146" t="str">
        <f ca="1">IFERROR(INDEX(Events!$A:$A,MATCH(I13,Events!$J:$J,0)),"")</f>
        <v/>
      </c>
      <c r="J16" s="147"/>
      <c r="K16" s="146" t="s">
        <v>120</v>
      </c>
      <c r="L16" s="147"/>
      <c r="M16" s="146" t="s">
        <v>120</v>
      </c>
      <c r="N16" s="147"/>
      <c r="O16" s="146" t="str">
        <f ca="1">IFERROR(INDEX(Events!$A:$A,MATCH(O13,Events!$J:$J,0)),"")</f>
        <v/>
      </c>
      <c r="P16" s="147"/>
      <c r="R16" s="230"/>
    </row>
    <row r="17" spans="1:18" s="2" customFormat="1" ht="10.8" customHeight="1" x14ac:dyDescent="0.25">
      <c r="A17" s="143"/>
      <c r="C17" s="102">
        <f>IF(O13="","",IF(MONTH(O13+1)&lt;&gt;MONTH(O13),"",O13+1))</f>
        <v>46033</v>
      </c>
      <c r="D17" s="52" t="str">
        <f>IFERROR(INDEX(Events!$A:$A,MATCH(C17,Events!$G:$G,0)),"")</f>
        <v/>
      </c>
      <c r="E17" s="50">
        <f>IF(C17="","",IF(MONTH(C17+1)&lt;&gt;MONTH(C17),"",C17+1))</f>
        <v>46034</v>
      </c>
      <c r="F17" s="97" t="s">
        <v>147</v>
      </c>
      <c r="G17" s="50">
        <f>IF(E17="","",IF(MONTH(E17+1)&lt;&gt;MONTH(E17),"",E17+1))</f>
        <v>46035</v>
      </c>
      <c r="H17" s="97" t="s">
        <v>151</v>
      </c>
      <c r="I17" s="50">
        <f>IF(G17="","",IF(MONTH(G17+1)&lt;&gt;MONTH(G17),"",G17+1))</f>
        <v>46036</v>
      </c>
      <c r="J17" s="97" t="s">
        <v>153</v>
      </c>
      <c r="K17" s="50">
        <f>IF(I17="","",IF(MONTH(I17+1)&lt;&gt;MONTH(I17),"",I17+1))</f>
        <v>46037</v>
      </c>
      <c r="L17" s="97" t="s">
        <v>154</v>
      </c>
      <c r="M17" s="50">
        <f>IF(K17="","",IF(MONTH(K17+1)&lt;&gt;MONTH(K17),"",K17+1))</f>
        <v>46038</v>
      </c>
      <c r="N17" s="97" t="s">
        <v>155</v>
      </c>
      <c r="O17" s="50">
        <f>IF(M17="","",IF(MONTH(M17+1)&lt;&gt;MONTH(M17),"",M17+1))</f>
        <v>46039</v>
      </c>
      <c r="P17" s="52" t="str">
        <f>IFERROR(INDEX(Events!$A:$A,MATCH(O17,Events!$G:$G,0)),"")</f>
        <v/>
      </c>
      <c r="R17" s="231" t="s">
        <v>126</v>
      </c>
    </row>
    <row r="18" spans="1:18" s="53" customFormat="1" ht="10.8" customHeight="1" x14ac:dyDescent="0.25">
      <c r="A18" s="143"/>
      <c r="C18" s="146" t="str">
        <f ca="1">IFERROR(INDEX(Events!$A:$A,MATCH(C17,Events!$H:$H,0)),"")</f>
        <v/>
      </c>
      <c r="D18" s="147" t="str">
        <f ca="1">IFERROR(INDEX(Events!#REF!,MATCH(C18,Events!A:A,0)),"")</f>
        <v/>
      </c>
      <c r="E18" s="146" t="str">
        <f ca="1">IFERROR(INDEX(Events!$A:$A,MATCH(E17,Events!$H:$H,0)),"")</f>
        <v/>
      </c>
      <c r="F18" s="147" t="str">
        <f ca="1">IFERROR(INDEX(Events!#REF!,MATCH(E18,Events!C:C,0)),"")</f>
        <v/>
      </c>
      <c r="G18" s="146" t="str">
        <f ca="1">IFERROR(INDEX(Events!$A:$A,MATCH(G17,Events!$H:$H,0)),"")</f>
        <v/>
      </c>
      <c r="H18" s="147" t="str">
        <f ca="1">IFERROR(INDEX(Events!#REF!,MATCH(G18,Events!E:E,0)),"")</f>
        <v/>
      </c>
      <c r="I18" s="146" t="str">
        <f ca="1">IFERROR(INDEX(Events!$A:$A,MATCH(I17,Events!$H:$H,0)),"")</f>
        <v/>
      </c>
      <c r="J18" s="147" t="str">
        <f ca="1">IFERROR(INDEX(Events!A:A,MATCH(I18,Events!G:G,0)),"")</f>
        <v/>
      </c>
      <c r="K18" s="146" t="str">
        <f ca="1">IFERROR(INDEX(Events!$A:$A,MATCH(K17,Events!$H:$H,0)),"")</f>
        <v/>
      </c>
      <c r="L18" s="147" t="str">
        <f ca="1">IFERROR(INDEX(Events!C:C,MATCH(K18,Events!I:I,0)),"")</f>
        <v/>
      </c>
      <c r="M18" s="146" t="str">
        <f ca="1">IFERROR(INDEX(Events!$A:$A,MATCH(M17,Events!$H:$H,0)),"")</f>
        <v/>
      </c>
      <c r="N18" s="147" t="str">
        <f ca="1">IFERROR(INDEX(Events!E:E,MATCH(M18,Events!#REF!,0)),"")</f>
        <v/>
      </c>
      <c r="O18" s="146" t="str">
        <f ca="1">IFERROR(INDEX(Events!$A:$A,MATCH(O17,Events!$H:$H,0)),"")</f>
        <v/>
      </c>
      <c r="P18" s="147" t="str">
        <f ca="1">IFERROR(INDEX(Events!G:G,MATCH(O18,Events!K:K,0)),"")</f>
        <v/>
      </c>
      <c r="R18" s="231"/>
    </row>
    <row r="19" spans="1:18" s="53" customFormat="1" ht="10.8" customHeight="1" x14ac:dyDescent="0.25">
      <c r="A19" s="143"/>
      <c r="C19" s="146" t="str">
        <f ca="1">IFERROR(INDEX(Events!$A:$A,MATCH(C17,Events!$I:$I,0)),"")</f>
        <v/>
      </c>
      <c r="D19" s="147"/>
      <c r="E19" s="209" t="s">
        <v>121</v>
      </c>
      <c r="F19" s="173"/>
      <c r="G19" s="209" t="s">
        <v>121</v>
      </c>
      <c r="H19" s="173"/>
      <c r="I19" s="209" t="s">
        <v>121</v>
      </c>
      <c r="J19" s="173"/>
      <c r="K19" s="209" t="s">
        <v>121</v>
      </c>
      <c r="L19" s="173"/>
      <c r="M19" s="209" t="s">
        <v>121</v>
      </c>
      <c r="N19" s="173"/>
      <c r="O19" s="146" t="str">
        <f ca="1">IFERROR(INDEX(Events!$A:$A,MATCH(O17,Events!$I:$I,0)),"")</f>
        <v/>
      </c>
      <c r="P19" s="147"/>
      <c r="R19" s="231"/>
    </row>
    <row r="20" spans="1:18" s="53" customFormat="1" ht="10.8" customHeight="1" x14ac:dyDescent="0.25">
      <c r="A20" s="143"/>
      <c r="C20" s="146" t="str">
        <f ca="1">IFERROR(INDEX(Events!$A:$A,MATCH(C17,Events!$J:$J,0)),"")</f>
        <v/>
      </c>
      <c r="D20" s="147"/>
      <c r="E20" s="146" t="s">
        <v>120</v>
      </c>
      <c r="F20" s="147"/>
      <c r="G20" s="146" t="s">
        <v>120</v>
      </c>
      <c r="H20" s="147"/>
      <c r="I20" s="146" t="s">
        <v>120</v>
      </c>
      <c r="J20" s="147"/>
      <c r="K20" s="146" t="s">
        <v>120</v>
      </c>
      <c r="L20" s="147"/>
      <c r="M20" s="146" t="s">
        <v>120</v>
      </c>
      <c r="N20" s="147"/>
      <c r="O20" s="146" t="str">
        <f ca="1">IFERROR(INDEX(Events!$A:$A,MATCH(O17,Events!$J:$J,0)),"")</f>
        <v/>
      </c>
      <c r="P20" s="147"/>
      <c r="R20" s="231"/>
    </row>
    <row r="21" spans="1:18" s="2" customFormat="1" ht="10.8" customHeight="1" x14ac:dyDescent="0.25">
      <c r="A21" s="143"/>
      <c r="C21" s="102">
        <f>IF(O17="","",IF(MONTH(O17+1)&lt;&gt;MONTH(O17),"",O17+1))</f>
        <v>46040</v>
      </c>
      <c r="D21" s="52" t="str">
        <f>IFERROR(INDEX(Events!$A:$A,MATCH(C21,Events!$G:$G,0)),"")</f>
        <v/>
      </c>
      <c r="E21" s="50">
        <f>IF(C21="","",IF(MONTH(C21+1)&lt;&gt;MONTH(C21),"",C21+1))</f>
        <v>46041</v>
      </c>
      <c r="F21" s="52" t="str">
        <f>IFERROR(INDEX(Events!$A:$A,MATCH(E21,Events!$G:$G,0)),"")</f>
        <v>ML King Day</v>
      </c>
      <c r="G21" s="50">
        <f>IF(E21="","",IF(MONTH(E21+1)&lt;&gt;MONTH(E21),"",E21+1))</f>
        <v>46042</v>
      </c>
      <c r="H21" s="52" t="str">
        <f>IFERROR(INDEX(Events!$A:$A,MATCH(G21,Events!$G:$G,0)),"")</f>
        <v/>
      </c>
      <c r="I21" s="50">
        <f>IF(G21="","",IF(MONTH(G21+1)&lt;&gt;MONTH(G21),"",G21+1))</f>
        <v>46043</v>
      </c>
      <c r="J21" s="52" t="str">
        <f>IFERROR(INDEX(Events!$A:$A,MATCH(I21,Events!$G:$G,0)),"")</f>
        <v/>
      </c>
      <c r="K21" s="50">
        <f>IF(I21="","",IF(MONTH(I21+1)&lt;&gt;MONTH(I21),"",I21+1))</f>
        <v>46044</v>
      </c>
      <c r="L21" s="52" t="str">
        <f>IFERROR(INDEX(Events!$A:$A,MATCH(K21,Events!$G:$G,0)),"")</f>
        <v/>
      </c>
      <c r="M21" s="50">
        <f>IF(K21="","",IF(MONTH(K21+1)&lt;&gt;MONTH(K21),"",K21+1))</f>
        <v>46045</v>
      </c>
      <c r="N21" s="52" t="str">
        <f>IFERROR(INDEX(Events!$A:$A,MATCH(M21,Events!$G:$G,0)),"")</f>
        <v/>
      </c>
      <c r="O21" s="50">
        <f>IF(M21="","",IF(MONTH(M21+1)&lt;&gt;MONTH(M21),"",M21+1))</f>
        <v>46046</v>
      </c>
      <c r="P21" s="52" t="str">
        <f>IFERROR(INDEX(Events!$A:$A,MATCH(O21,Events!$G:$G,0)),"")</f>
        <v/>
      </c>
      <c r="R21" s="231" t="s">
        <v>127</v>
      </c>
    </row>
    <row r="22" spans="1:18" s="53" customFormat="1" ht="10.8" customHeight="1" x14ac:dyDescent="0.25">
      <c r="A22" s="143"/>
      <c r="C22" s="146" t="str">
        <f ca="1">IFERROR(INDEX(Events!$A:$A,MATCH(C21,Events!$H:$H,0)),"")</f>
        <v/>
      </c>
      <c r="D22" s="147" t="str">
        <f ca="1">IFERROR(INDEX(Events!#REF!,MATCH(C22,Events!A:A,0)),"")</f>
        <v/>
      </c>
      <c r="E22" s="146" t="str">
        <f ca="1">IFERROR(INDEX(Events!$A:$A,MATCH(E21,Events!$H:$H,0)),"")</f>
        <v/>
      </c>
      <c r="F22" s="147" t="str">
        <f ca="1">IFERROR(INDEX(Events!#REF!,MATCH(E22,Events!C:C,0)),"")</f>
        <v/>
      </c>
      <c r="G22" s="178" t="s">
        <v>190</v>
      </c>
      <c r="H22" s="179"/>
      <c r="I22" s="146" t="str">
        <f ca="1">IFERROR(INDEX(Events!$A:$A,MATCH(I21,Events!$H:$H,0)),"")</f>
        <v/>
      </c>
      <c r="J22" s="147" t="str">
        <f ca="1">IFERROR(INDEX(Events!A:A,MATCH(I22,Events!G:G,0)),"")</f>
        <v/>
      </c>
      <c r="K22" s="146" t="str">
        <f ca="1">IFERROR(INDEX(Events!$A:$A,MATCH(K21,Events!$H:$H,0)),"")</f>
        <v/>
      </c>
      <c r="L22" s="147" t="str">
        <f ca="1">IFERROR(INDEX(Events!C:C,MATCH(K22,Events!I:I,0)),"")</f>
        <v/>
      </c>
      <c r="M22" s="146" t="str">
        <f ca="1">IFERROR(INDEX(Events!$A:$A,MATCH(M21,Events!$H:$H,0)),"")</f>
        <v/>
      </c>
      <c r="N22" s="147" t="str">
        <f ca="1">IFERROR(INDEX(Events!E:E,MATCH(M22,Events!#REF!,0)),"")</f>
        <v/>
      </c>
      <c r="O22" s="146" t="str">
        <f ca="1">IFERROR(INDEX(Events!$A:$A,MATCH(O21,Events!$H:$H,0)),"")</f>
        <v/>
      </c>
      <c r="P22" s="147" t="str">
        <f ca="1">IFERROR(INDEX(Events!G:G,MATCH(O22,Events!K:K,0)),"")</f>
        <v/>
      </c>
      <c r="R22" s="231"/>
    </row>
    <row r="23" spans="1:18" s="53" customFormat="1" ht="10.8" customHeight="1" x14ac:dyDescent="0.25">
      <c r="A23" s="143"/>
      <c r="C23" s="146" t="str">
        <f ca="1">IFERROR(INDEX(Events!$A:$A,MATCH(C21,Events!$I:$I,0)),"")</f>
        <v/>
      </c>
      <c r="D23" s="147"/>
      <c r="E23" s="209" t="s">
        <v>121</v>
      </c>
      <c r="F23" s="173"/>
      <c r="G23" s="209" t="s">
        <v>121</v>
      </c>
      <c r="H23" s="173"/>
      <c r="I23" s="209" t="s">
        <v>121</v>
      </c>
      <c r="J23" s="173"/>
      <c r="K23" s="209" t="s">
        <v>121</v>
      </c>
      <c r="L23" s="173"/>
      <c r="M23" s="209" t="s">
        <v>121</v>
      </c>
      <c r="N23" s="173"/>
      <c r="O23" s="146" t="str">
        <f ca="1">IFERROR(INDEX(Events!$A:$A,MATCH(O21,Events!$I:$I,0)),"")</f>
        <v/>
      </c>
      <c r="P23" s="147"/>
      <c r="R23" s="231"/>
    </row>
    <row r="24" spans="1:18" s="53" customFormat="1" ht="10.8" customHeight="1" x14ac:dyDescent="0.25">
      <c r="A24" s="143"/>
      <c r="C24" s="146" t="str">
        <f ca="1">IFERROR(INDEX(Events!$A:$A,MATCH(C21,Events!$J:$J,0)),"")</f>
        <v/>
      </c>
      <c r="D24" s="147"/>
      <c r="E24" s="146" t="s">
        <v>120</v>
      </c>
      <c r="F24" s="147"/>
      <c r="G24" s="146" t="s">
        <v>120</v>
      </c>
      <c r="H24" s="147"/>
      <c r="I24" s="146" t="s">
        <v>120</v>
      </c>
      <c r="J24" s="147"/>
      <c r="K24" s="146" t="s">
        <v>120</v>
      </c>
      <c r="L24" s="147"/>
      <c r="M24" s="146" t="s">
        <v>120</v>
      </c>
      <c r="N24" s="147"/>
      <c r="O24" s="146" t="str">
        <f ca="1">IFERROR(INDEX(Events!$A:$A,MATCH(O21,Events!$J:$J,0)),"")</f>
        <v/>
      </c>
      <c r="P24" s="147"/>
      <c r="R24" s="231"/>
    </row>
    <row r="25" spans="1:18" s="2" customFormat="1" ht="10.8" customHeight="1" x14ac:dyDescent="0.25">
      <c r="A25" s="143"/>
      <c r="C25" s="102">
        <f>IF(O21="","",IF(MONTH(O21+1)&lt;&gt;MONTH(O21),"",O21+1))</f>
        <v>46047</v>
      </c>
      <c r="D25" s="52" t="str">
        <f>IFERROR(INDEX(Events!$A:$A,MATCH(C25,Events!$G:$G,0)),"")</f>
        <v/>
      </c>
      <c r="E25" s="50">
        <f>IF(C25="","",IF(MONTH(C25+1)&lt;&gt;MONTH(C25),"",C25+1))</f>
        <v>46048</v>
      </c>
      <c r="F25" s="52" t="str">
        <f>IFERROR(INDEX(Events!$A:$A,MATCH(E25,Events!$G:$G,0)),"")</f>
        <v/>
      </c>
      <c r="G25" s="50">
        <f>IF(E25="","",IF(MONTH(E25+1)&lt;&gt;MONTH(E25),"",E25+1))</f>
        <v>46049</v>
      </c>
      <c r="H25" s="52" t="str">
        <f>IFERROR(INDEX(Events!$A:$A,MATCH(G25,Events!$G:$G,0)),"")</f>
        <v/>
      </c>
      <c r="I25" s="50">
        <f>IF(G25="","",IF(MONTH(G25+1)&lt;&gt;MONTH(G25),"",G25+1))</f>
        <v>46050</v>
      </c>
      <c r="J25" s="103" t="str">
        <f>IFERROR(INDEX(Events!$A:$A,MATCH(I25,Events!$G:$G,0)),"")</f>
        <v/>
      </c>
      <c r="K25" s="50">
        <f>IF(I25="","",IF(MONTH(I25+1)&lt;&gt;MONTH(I25),"",I25+1))</f>
        <v>46051</v>
      </c>
      <c r="L25" s="99"/>
      <c r="M25" s="50">
        <f>IF(K25="","",IF(MONTH(K25+1)&lt;&gt;MONTH(K25),"",K25+1))</f>
        <v>46052</v>
      </c>
      <c r="N25" s="99"/>
      <c r="O25" s="50">
        <f>IF(M25="","",IF(MONTH(M25+1)&lt;&gt;MONTH(M25),"",M25+1))</f>
        <v>46053</v>
      </c>
      <c r="P25" s="52" t="str">
        <f>IFERROR(INDEX(Events!$A:$A,MATCH(O25,Events!$G:$G,0)),"")</f>
        <v/>
      </c>
      <c r="R25" s="231" t="s">
        <v>128</v>
      </c>
    </row>
    <row r="26" spans="1:18" s="53" customFormat="1" ht="10.8" customHeight="1" x14ac:dyDescent="0.25">
      <c r="A26" s="143"/>
      <c r="C26" s="146" t="str">
        <f ca="1">IFERROR(INDEX(Events!$A:$A,MATCH(C25,Events!$H:$H,0)),"")</f>
        <v/>
      </c>
      <c r="D26" s="147" t="str">
        <f ca="1">IFERROR(INDEX(Events!#REF!,MATCH(C26,Events!A:A,0)),"")</f>
        <v/>
      </c>
      <c r="E26" s="146" t="str">
        <f ca="1">IFERROR(INDEX(Events!$A:$A,MATCH(E25,Events!$H:$H,0)),"")</f>
        <v/>
      </c>
      <c r="F26" s="147" t="str">
        <f ca="1">IFERROR(INDEX(Events!#REF!,MATCH(E26,Events!C:C,0)),"")</f>
        <v/>
      </c>
      <c r="G26" s="146" t="str">
        <f ca="1">IFERROR(INDEX(Events!$A:$A,MATCH(G25,Events!$H:$H,0)),"")</f>
        <v/>
      </c>
      <c r="H26" s="147" t="str">
        <f ca="1">IFERROR(INDEX(Events!#REF!,MATCH(G26,Events!E:E,0)),"")</f>
        <v/>
      </c>
      <c r="I26" s="235" t="s">
        <v>152</v>
      </c>
      <c r="J26" s="236" t="str">
        <f>IFERROR(INDEX(Events!A:A,MATCH(I26,Events!G:G,0)),"")</f>
        <v/>
      </c>
      <c r="K26" s="146" t="str">
        <f ca="1">IFERROR(INDEX(Events!$A:$A,MATCH(K25,Events!$H:$H,0)),"")</f>
        <v/>
      </c>
      <c r="L26" s="147" t="str">
        <f ca="1">IFERROR(INDEX(Events!C:C,MATCH(K26,Events!I:I,0)),"")</f>
        <v/>
      </c>
      <c r="M26" s="146" t="str">
        <f ca="1">IFERROR(INDEX(Events!$A:$A,MATCH(M25,Events!$H:$H,0)),"")</f>
        <v/>
      </c>
      <c r="N26" s="147" t="str">
        <f ca="1">IFERROR(INDEX(Events!E:E,MATCH(M26,Events!#REF!,0)),"")</f>
        <v/>
      </c>
      <c r="O26" s="146" t="str">
        <f ca="1">IFERROR(INDEX(Events!$A:$A,MATCH(O25,Events!$H:$H,0)),"")</f>
        <v/>
      </c>
      <c r="P26" s="147" t="str">
        <f ca="1">IFERROR(INDEX(Events!G:G,MATCH(O26,Events!K:K,0)),"")</f>
        <v/>
      </c>
      <c r="R26" s="231"/>
    </row>
    <row r="27" spans="1:18" s="53" customFormat="1" ht="10.8" customHeight="1" x14ac:dyDescent="0.25">
      <c r="A27" s="143"/>
      <c r="C27" s="146" t="str">
        <f ca="1">IFERROR(INDEX(Events!$A:$A,MATCH(C25,Events!$I:$I,0)),"")</f>
        <v/>
      </c>
      <c r="D27" s="147"/>
      <c r="E27" s="209" t="s">
        <v>121</v>
      </c>
      <c r="F27" s="173"/>
      <c r="G27" s="209" t="s">
        <v>121</v>
      </c>
      <c r="H27" s="173"/>
      <c r="I27" s="209" t="s">
        <v>121</v>
      </c>
      <c r="J27" s="173"/>
      <c r="K27" s="209" t="s">
        <v>121</v>
      </c>
      <c r="L27" s="173"/>
      <c r="M27" s="209" t="s">
        <v>121</v>
      </c>
      <c r="N27" s="173"/>
      <c r="O27" s="146" t="str">
        <f ca="1">IFERROR(INDEX(Events!$A:$A,MATCH(O25,Events!$I:$I,0)),"")</f>
        <v/>
      </c>
      <c r="P27" s="147"/>
      <c r="R27" s="231"/>
    </row>
    <row r="28" spans="1:18" s="53" customFormat="1" ht="10.8" customHeight="1" x14ac:dyDescent="0.25">
      <c r="A28" s="143"/>
      <c r="C28" s="211" t="str">
        <f ca="1">IFERROR(INDEX(Events!$A:$A,MATCH(C25,Events!$J:$J,0)),"")</f>
        <v/>
      </c>
      <c r="D28" s="177"/>
      <c r="E28" s="211" t="s">
        <v>120</v>
      </c>
      <c r="F28" s="177"/>
      <c r="G28" s="211" t="s">
        <v>120</v>
      </c>
      <c r="H28" s="177"/>
      <c r="I28" s="211" t="s">
        <v>120</v>
      </c>
      <c r="J28" s="177"/>
      <c r="K28" s="211" t="s">
        <v>120</v>
      </c>
      <c r="L28" s="177"/>
      <c r="M28" s="211" t="s">
        <v>120</v>
      </c>
      <c r="N28" s="177"/>
      <c r="O28" s="180" t="str">
        <f ca="1">IFERROR(INDEX(Events!$A:$A,MATCH(O25,Events!$J:$J,0)),"")</f>
        <v/>
      </c>
      <c r="P28" s="181"/>
      <c r="R28" s="231"/>
    </row>
    <row r="29" spans="1:18" ht="8.4" hidden="1" customHeight="1" x14ac:dyDescent="0.25">
      <c r="C29" s="132" t="str">
        <f>IF(O25="","",IF(MONTH(O25+1)&lt;&gt;MONTH(O25),"",O25+1))</f>
        <v/>
      </c>
      <c r="D29" s="94" t="str">
        <f>IFERROR(INDEX(Events!$A:$A,MATCH(C29,Events!$G:$G,0)),"")</f>
        <v/>
      </c>
      <c r="E29" s="93" t="str">
        <f>IF(C29="","",IF(MONTH(C29+1)&lt;&gt;MONTH(C29),"",C29+1))</f>
        <v/>
      </c>
      <c r="F29" s="94" t="str">
        <f>IFERROR(INDEX(Events!$A:$A,MATCH(E29,Events!$G:$G,0)),"")</f>
        <v/>
      </c>
    </row>
    <row r="30" spans="1:18" s="54" customFormat="1" ht="8.4" hidden="1" customHeight="1" x14ac:dyDescent="0.2">
      <c r="C30" s="165" t="str">
        <f ca="1">IFERROR(INDEX(Events!$A:$A,MATCH(C29,Events!$H:$H,0)),"")</f>
        <v/>
      </c>
      <c r="D30" s="165" t="str">
        <f ca="1">IFERROR(INDEX(Events!#REF!,MATCH(C30,Events!A:A,0)),"")</f>
        <v/>
      </c>
      <c r="E30" s="165" t="str">
        <f ca="1">IFERROR(INDEX(Events!$A:$A,MATCH(E29,Events!$H:$H,0)),"")</f>
        <v/>
      </c>
      <c r="F30" s="165" t="str">
        <f ca="1">IFERROR(INDEX(Events!#REF!,MATCH(E30,Events!C:C,0)),"")</f>
        <v/>
      </c>
      <c r="J30" s="55"/>
      <c r="K30" s="55"/>
      <c r="L30" s="55"/>
      <c r="M30" s="55"/>
      <c r="N30" s="55"/>
      <c r="O30" s="55"/>
      <c r="P30" s="55"/>
      <c r="R30" s="135"/>
    </row>
    <row r="31" spans="1:18" s="54" customFormat="1" ht="8.4" hidden="1" customHeight="1" x14ac:dyDescent="0.2">
      <c r="C31" s="165" t="str">
        <f ca="1">IFERROR(INDEX(Events!$A:$A,MATCH(C29,Events!$I:$I,0)),"")</f>
        <v/>
      </c>
      <c r="D31" s="165"/>
      <c r="E31" s="165" t="str">
        <f ca="1">IFERROR(INDEX(Events!$A:$A,MATCH(E29,Events!$I:$I,0)),"")</f>
        <v/>
      </c>
      <c r="F31" s="165"/>
      <c r="I31" s="210"/>
      <c r="J31" s="210"/>
      <c r="K31" s="210"/>
      <c r="L31" s="210"/>
      <c r="M31" s="210"/>
      <c r="N31" s="210"/>
      <c r="O31" s="210"/>
      <c r="P31" s="210"/>
      <c r="R31" s="135"/>
    </row>
    <row r="32" spans="1:18" s="54" customFormat="1" ht="8.4" hidden="1" customHeight="1" x14ac:dyDescent="0.2">
      <c r="C32" s="165" t="str">
        <f ca="1">IFERROR(INDEX(Events!$A:$A,MATCH(C29,Events!$J:$J,0)),"")</f>
        <v/>
      </c>
      <c r="D32" s="165"/>
      <c r="E32" s="165"/>
      <c r="F32" s="165"/>
      <c r="I32" s="210"/>
      <c r="J32" s="210"/>
      <c r="K32" s="210"/>
      <c r="L32" s="210"/>
      <c r="M32" s="210"/>
      <c r="N32" s="210"/>
      <c r="O32" s="210"/>
      <c r="P32" s="210"/>
      <c r="R32" s="135"/>
    </row>
    <row r="33" spans="1:18" ht="8.4" customHeight="1" x14ac:dyDescent="0.55000000000000004">
      <c r="I33" s="210"/>
      <c r="J33" s="210"/>
      <c r="K33" s="210"/>
      <c r="L33" s="210"/>
      <c r="M33" s="210"/>
      <c r="N33" s="210"/>
      <c r="O33" s="210"/>
      <c r="P33" s="210"/>
    </row>
    <row r="34" spans="1:18" s="1" customFormat="1" ht="8.4" hidden="1" customHeight="1" x14ac:dyDescent="0.25">
      <c r="C34" t="s">
        <v>1</v>
      </c>
      <c r="D34" s="6">
        <f>DATE(YEAR('1Q26 '!$D$7),MONTH('1Q26 '!$D$7)+1,1)</f>
        <v>46054</v>
      </c>
      <c r="R34" s="135"/>
    </row>
    <row r="35" spans="1:18" s="56" customFormat="1" ht="18" customHeight="1" x14ac:dyDescent="0.25">
      <c r="A35" s="143">
        <f>D34</f>
        <v>46054</v>
      </c>
      <c r="C35" s="144" t="s">
        <v>109</v>
      </c>
      <c r="D35" s="145"/>
      <c r="E35" s="144" t="s">
        <v>110</v>
      </c>
      <c r="F35" s="145"/>
      <c r="G35" s="144" t="s">
        <v>111</v>
      </c>
      <c r="H35" s="145"/>
      <c r="I35" s="144" t="s">
        <v>112</v>
      </c>
      <c r="J35" s="145"/>
      <c r="K35" s="144" t="s">
        <v>113</v>
      </c>
      <c r="L35" s="145"/>
      <c r="M35" s="144" t="s">
        <v>114</v>
      </c>
      <c r="N35" s="145"/>
      <c r="O35" s="144" t="s">
        <v>115</v>
      </c>
      <c r="P35" s="145"/>
      <c r="R35" s="136" t="s">
        <v>132</v>
      </c>
    </row>
    <row r="36" spans="1:18" s="1" customFormat="1" ht="10.199999999999999" customHeight="1" x14ac:dyDescent="0.2">
      <c r="A36" s="143"/>
      <c r="C36" s="102">
        <f>IF(WEEKDAY($D$34,1)=startday,$D$34,"")</f>
        <v>46054</v>
      </c>
      <c r="D36" s="52" t="str">
        <f>IFERROR(INDEX(Events!$A:$A,MATCH(C36,Events!$G:$G,0)),"")</f>
        <v/>
      </c>
      <c r="E36" s="107">
        <f>IF(C36="",IF(WEEKDAY($D$34,1)=MOD(startday,7)+1,$D$34,""),C36+1)</f>
        <v>46055</v>
      </c>
      <c r="F36" s="108" t="s">
        <v>141</v>
      </c>
      <c r="G36" s="50">
        <f>IF(E36="",IF(WEEKDAY($D$34,1)=MOD(startday+1,7)+1,$D$34,""),E36+1)</f>
        <v>46056</v>
      </c>
      <c r="H36" s="97" t="s">
        <v>142</v>
      </c>
      <c r="I36" s="50">
        <f>IF(G36="",IF(WEEKDAY($D$34,1)=MOD(startday+2,7)+1,$D$34,""),G36+1)</f>
        <v>46057</v>
      </c>
      <c r="J36" s="97" t="s">
        <v>150</v>
      </c>
      <c r="K36" s="50">
        <f>IF(I36="",IF(WEEKDAY($D$34,1)=MOD(startday+3,7)+1,$D$34,""),I36+1)</f>
        <v>46058</v>
      </c>
      <c r="L36" s="97" t="s">
        <v>143</v>
      </c>
      <c r="M36" s="50">
        <f>IF(K36="",IF(WEEKDAY($D$34,1)=MOD(startday+4,7)+1,$D$34,""),K36+1)</f>
        <v>46059</v>
      </c>
      <c r="N36" s="97" t="s">
        <v>144</v>
      </c>
      <c r="O36" s="50">
        <f>IF(M36="",IF(WEEKDAY($D$34,1)=MOD(startday+5,7)+1,$D$34,""),M36+1)</f>
        <v>46060</v>
      </c>
      <c r="P36" s="52" t="str">
        <f>IFERROR(INDEX(Events!$A:$A,MATCH(O36,Events!$G:$G,0)),"")</f>
        <v/>
      </c>
      <c r="R36" s="234" t="s">
        <v>130</v>
      </c>
    </row>
    <row r="37" spans="1:18" s="54" customFormat="1" ht="10.199999999999999" customHeight="1" x14ac:dyDescent="0.2">
      <c r="A37" s="143"/>
      <c r="C37" s="146" t="str">
        <f ca="1">IFERROR(INDEX(Events!$A:$A,MATCH(C36,Events!$H:$H,0)),"")</f>
        <v/>
      </c>
      <c r="D37" s="147"/>
      <c r="E37" s="191" t="s">
        <v>164</v>
      </c>
      <c r="F37" s="192"/>
      <c r="G37" s="187" t="s">
        <v>163</v>
      </c>
      <c r="H37" s="188" t="str">
        <f>IFERROR(INDEX(Events!#REF!,MATCH(G37,Events!E:E,0)),"")</f>
        <v/>
      </c>
      <c r="I37" s="146" t="str">
        <f ca="1">IFERROR(INDEX(Events!$A:$A,MATCH(I36,Events!$H:$H,0)),"")</f>
        <v/>
      </c>
      <c r="J37" s="147"/>
      <c r="K37" s="146" t="str">
        <f ca="1">IFERROR(INDEX(Events!$A:$A,MATCH(K36,Events!$H:$H,0)),"")</f>
        <v/>
      </c>
      <c r="L37" s="147"/>
      <c r="M37" s="146" t="str">
        <f ca="1">IFERROR(INDEX(Events!$A:$A,MATCH(M36,Events!$H:$H,0)),"")</f>
        <v/>
      </c>
      <c r="N37" s="147"/>
      <c r="O37" s="146" t="str">
        <f ca="1">IFERROR(INDEX(Events!$A:$A,MATCH(O36,Events!$H:$H,0)),"")</f>
        <v/>
      </c>
      <c r="P37" s="147"/>
      <c r="R37" s="230"/>
    </row>
    <row r="38" spans="1:18" s="54" customFormat="1" ht="10.199999999999999" customHeight="1" x14ac:dyDescent="0.2">
      <c r="A38" s="143"/>
      <c r="C38" s="146" t="str">
        <f ca="1">IFERROR(INDEX(Events!$A:$A,MATCH(C36,Events!$I:$I,0)),"")</f>
        <v/>
      </c>
      <c r="D38" s="147"/>
      <c r="E38" s="191" t="s">
        <v>121</v>
      </c>
      <c r="F38" s="192"/>
      <c r="G38" s="209" t="s">
        <v>121</v>
      </c>
      <c r="H38" s="173"/>
      <c r="I38" s="209" t="s">
        <v>121</v>
      </c>
      <c r="J38" s="173"/>
      <c r="K38" s="209" t="s">
        <v>121</v>
      </c>
      <c r="L38" s="173"/>
      <c r="M38" s="209" t="s">
        <v>121</v>
      </c>
      <c r="N38" s="173"/>
      <c r="O38" s="146" t="str">
        <f ca="1">IFERROR(INDEX(Events!$A:$A,MATCH(O36,Events!$I:$I,0)),"")</f>
        <v/>
      </c>
      <c r="P38" s="147"/>
      <c r="R38" s="230"/>
    </row>
    <row r="39" spans="1:18" s="54" customFormat="1" ht="10.199999999999999" customHeight="1" x14ac:dyDescent="0.2">
      <c r="A39" s="143"/>
      <c r="C39" s="146" t="s">
        <v>120</v>
      </c>
      <c r="D39" s="147"/>
      <c r="E39" s="191" t="s">
        <v>120</v>
      </c>
      <c r="F39" s="192"/>
      <c r="G39" s="146" t="s">
        <v>120</v>
      </c>
      <c r="H39" s="147"/>
      <c r="I39" s="146" t="s">
        <v>120</v>
      </c>
      <c r="J39" s="147"/>
      <c r="K39" s="146" t="s">
        <v>120</v>
      </c>
      <c r="L39" s="147"/>
      <c r="M39" s="146" t="s">
        <v>120</v>
      </c>
      <c r="N39" s="147"/>
      <c r="O39" s="211"/>
      <c r="P39" s="177"/>
      <c r="R39" s="230"/>
    </row>
    <row r="40" spans="1:18" s="1" customFormat="1" ht="10.199999999999999" customHeight="1" x14ac:dyDescent="0.2">
      <c r="A40" s="143"/>
      <c r="C40" s="102">
        <f>IF(O36="","",IF(MONTH(O36+1)&lt;&gt;MONTH(O36),"",O36+1))</f>
        <v>46061</v>
      </c>
      <c r="D40" s="52" t="str">
        <f>IFERROR(INDEX(Events!$A:$A,MATCH(C40,Events!$G:$G,0)),"")</f>
        <v/>
      </c>
      <c r="E40" s="127">
        <f>IF(C40="","",IF(MONTH(C40+1)&lt;&gt;MONTH(C40),"",C40+1))</f>
        <v>46062</v>
      </c>
      <c r="F40" s="128" t="s">
        <v>145</v>
      </c>
      <c r="G40" s="50">
        <f>IF(E40="","",IF(MONTH(E40+1)&lt;&gt;MONTH(E40),"",E40+1))</f>
        <v>46063</v>
      </c>
      <c r="H40" s="97" t="s">
        <v>146</v>
      </c>
      <c r="I40" s="50">
        <f>IF(G40="","",IF(MONTH(G40+1)&lt;&gt;MONTH(G40),"",G40+1))</f>
        <v>46064</v>
      </c>
      <c r="J40" s="97" t="s">
        <v>147</v>
      </c>
      <c r="K40" s="50">
        <f>IF(I40="","",IF(MONTH(I40+1)&lt;&gt;MONTH(I40),"",I40+1))</f>
        <v>46065</v>
      </c>
      <c r="L40" s="97" t="s">
        <v>151</v>
      </c>
      <c r="M40" s="50">
        <f>IF(K40="","",IF(MONTH(K40+1)&lt;&gt;MONTH(K40),"",K40+1))</f>
        <v>46066</v>
      </c>
      <c r="N40" s="97" t="s">
        <v>153</v>
      </c>
      <c r="O40" s="50">
        <f>IF(M40="","",IF(MONTH(M40+1)&lt;&gt;MONTH(M40),"",M40+1))</f>
        <v>46067</v>
      </c>
      <c r="P40" s="52"/>
      <c r="R40" s="231" t="s">
        <v>131</v>
      </c>
    </row>
    <row r="41" spans="1:18" s="54" customFormat="1" ht="10.199999999999999" customHeight="1" x14ac:dyDescent="0.2">
      <c r="A41" s="143"/>
      <c r="C41" s="146" t="str">
        <f ca="1">IFERROR(INDEX(Events!$A:$A,MATCH(C40,Events!$H:$H,0)),"")</f>
        <v/>
      </c>
      <c r="D41" s="147"/>
      <c r="E41" s="194"/>
      <c r="F41" s="195"/>
      <c r="G41" s="193" t="s">
        <v>119</v>
      </c>
      <c r="H41" s="167" t="str">
        <f>IFERROR(INDEX(Events!#REF!,MATCH(G41,Events!#REF!,0)),"")</f>
        <v/>
      </c>
      <c r="I41" s="196" t="s">
        <v>162</v>
      </c>
      <c r="J41" s="197" t="str">
        <f>IFERROR(INDEX(Events!A:A,MATCH(I41,Events!#REF!,0)),"")</f>
        <v/>
      </c>
      <c r="K41" s="146" t="str">
        <f ca="1">IFERROR(INDEX(Events!$A:$A,MATCH(K40,Events!$H:$H,0)),"")</f>
        <v/>
      </c>
      <c r="L41" s="147"/>
      <c r="M41" s="146" t="str">
        <f ca="1">IFERROR(INDEX(Events!$A:$A,MATCH(M40,Events!$H:$H,0)),"")</f>
        <v/>
      </c>
      <c r="N41" s="147"/>
      <c r="O41" s="146" t="str">
        <f ca="1">IFERROR(INDEX(Events!$A:$A,MATCH(O40,Events!$H:$H,0)),"")</f>
        <v/>
      </c>
      <c r="P41" s="147"/>
      <c r="R41" s="231"/>
    </row>
    <row r="42" spans="1:18" s="54" customFormat="1" ht="10.199999999999999" customHeight="1" x14ac:dyDescent="0.2">
      <c r="A42" s="143"/>
      <c r="C42" s="146" t="str">
        <f ca="1">IFERROR(INDEX(Events!$A:$A,MATCH(C40,Events!$I:$I,0)),"")</f>
        <v/>
      </c>
      <c r="D42" s="147"/>
      <c r="E42" s="209" t="s">
        <v>121</v>
      </c>
      <c r="F42" s="173"/>
      <c r="G42" s="209" t="s">
        <v>121</v>
      </c>
      <c r="H42" s="173"/>
      <c r="I42" s="209" t="s">
        <v>121</v>
      </c>
      <c r="J42" s="173"/>
      <c r="K42" s="209" t="s">
        <v>121</v>
      </c>
      <c r="L42" s="173"/>
      <c r="M42" s="209" t="s">
        <v>121</v>
      </c>
      <c r="N42" s="173"/>
      <c r="O42" s="146" t="str">
        <f ca="1">IFERROR(INDEX(Events!$A:$A,MATCH(O40,Events!$I:$I,0)),"")</f>
        <v/>
      </c>
      <c r="P42" s="147"/>
      <c r="R42" s="231"/>
    </row>
    <row r="43" spans="1:18" s="54" customFormat="1" ht="10.199999999999999" customHeight="1" x14ac:dyDescent="0.2">
      <c r="A43" s="143"/>
      <c r="C43" s="180" t="str">
        <f ca="1">IFERROR(INDEX(Events!$A:$A,MATCH(C40,Events!$J:$J,0)),"")</f>
        <v/>
      </c>
      <c r="D43" s="181"/>
      <c r="E43" s="146" t="s">
        <v>120</v>
      </c>
      <c r="F43" s="147"/>
      <c r="G43" s="146" t="s">
        <v>120</v>
      </c>
      <c r="H43" s="147"/>
      <c r="I43" s="146" t="s">
        <v>120</v>
      </c>
      <c r="J43" s="147"/>
      <c r="K43" s="146" t="s">
        <v>120</v>
      </c>
      <c r="L43" s="147"/>
      <c r="M43" s="146" t="s">
        <v>120</v>
      </c>
      <c r="N43" s="147"/>
      <c r="O43" s="180" t="str">
        <f ca="1">IFERROR(INDEX(Events!$A:$A,MATCH(O40,Events!$J:$J,0)),"")</f>
        <v/>
      </c>
      <c r="P43" s="181"/>
      <c r="R43" s="231"/>
    </row>
    <row r="44" spans="1:18" s="1" customFormat="1" ht="10.199999999999999" customHeight="1" x14ac:dyDescent="0.2">
      <c r="A44" s="143"/>
      <c r="C44" s="102">
        <f>IF(O40="","",IF(MONTH(O40+1)&lt;&gt;MONTH(O40),"",O40+1))</f>
        <v>46068</v>
      </c>
      <c r="D44" s="52" t="str">
        <f>IFERROR(INDEX(Events!$A:$A,MATCH(C44,Events!$G:$G,0)),"")</f>
        <v/>
      </c>
      <c r="E44" s="50">
        <f>IF(C44="","",IF(MONTH(C44+1)&lt;&gt;MONTH(C44),"",C44+1))</f>
        <v>46069</v>
      </c>
      <c r="F44" s="97" t="s">
        <v>154</v>
      </c>
      <c r="G44" s="102">
        <f>IF(E44="","",IF(MONTH(E44+1)&lt;&gt;MONTH(E44),"",E44+1))</f>
        <v>46070</v>
      </c>
      <c r="H44" s="97"/>
      <c r="I44" s="102">
        <f>IF(G44="","",IF(MONTH(G44+1)&lt;&gt;MONTH(G44),"",G44+1))</f>
        <v>46071</v>
      </c>
      <c r="J44" s="97"/>
      <c r="K44" s="102">
        <f>IF(I44="","",IF(MONTH(I44+1)&lt;&gt;MONTH(I44),"",I44+1))</f>
        <v>46072</v>
      </c>
      <c r="L44" s="97"/>
      <c r="M44" s="102">
        <f>IF(K44="","",IF(MONTH(K44+1)&lt;&gt;MONTH(K44),"",K44+1))</f>
        <v>46073</v>
      </c>
      <c r="N44" s="97"/>
      <c r="O44" s="50">
        <f>IF(M44="","",IF(MONTH(M44+1)&lt;&gt;MONTH(M44),"",M44+1))</f>
        <v>46074</v>
      </c>
      <c r="P44" s="52" t="str">
        <f>IFERROR(INDEX(Events!$A:$A,MATCH(O44,Events!$G:$G,0)),"")</f>
        <v/>
      </c>
      <c r="R44" s="231" t="s">
        <v>133</v>
      </c>
    </row>
    <row r="45" spans="1:18" s="54" customFormat="1" ht="10.199999999999999" customHeight="1" x14ac:dyDescent="0.2">
      <c r="A45" s="143"/>
      <c r="C45" s="146" t="str">
        <f ca="1">IFERROR(INDEX(Events!$A:$A,MATCH(C44,Events!$H:$H,0)),"")</f>
        <v/>
      </c>
      <c r="D45" s="147"/>
      <c r="E45" s="146" t="str">
        <f ca="1">IFERROR(INDEX(Events!$A:$A,MATCH(E44,Events!$H:$H,0)),"")</f>
        <v/>
      </c>
      <c r="F45" s="147"/>
      <c r="G45" s="232" t="str">
        <f ca="1">IFERROR(INDEX(Events!$A:$A,MATCH(G44,Events!$H:$H,0)),"")</f>
        <v>Mardi Gras</v>
      </c>
      <c r="H45" s="233"/>
      <c r="I45" s="232" t="str">
        <f ca="1">IFERROR(INDEX(Events!$A:$A,MATCH(I44,Events!$H:$H,0)),"")</f>
        <v>Ramadan begins</v>
      </c>
      <c r="J45" s="233"/>
      <c r="K45" s="146" t="str">
        <f ca="1">IFERROR(INDEX(Events!$A:$A,MATCH(K44,Events!$H:$H,0)),"")</f>
        <v/>
      </c>
      <c r="L45" s="147"/>
      <c r="M45" s="146" t="str">
        <f ca="1">IFERROR(INDEX(Events!$A:$A,MATCH(M44,Events!$H:$H,0)),"")</f>
        <v/>
      </c>
      <c r="N45" s="147"/>
      <c r="O45" s="146" t="str">
        <f ca="1">IFERROR(INDEX(Events!$A:$A,MATCH(O44,Events!$H:$H,0)),"")</f>
        <v/>
      </c>
      <c r="P45" s="147"/>
      <c r="R45" s="231"/>
    </row>
    <row r="46" spans="1:18" s="54" customFormat="1" ht="10.199999999999999" customHeight="1" x14ac:dyDescent="0.2">
      <c r="A46" s="143"/>
      <c r="C46" s="146" t="str">
        <f ca="1">IFERROR(INDEX(Events!$A:$A,MATCH(C44,Events!$I:$I,0)),"")</f>
        <v/>
      </c>
      <c r="D46" s="147"/>
      <c r="E46" s="209" t="s">
        <v>121</v>
      </c>
      <c r="F46" s="173"/>
      <c r="G46" s="209" t="s">
        <v>121</v>
      </c>
      <c r="H46" s="173"/>
      <c r="I46" s="209" t="s">
        <v>121</v>
      </c>
      <c r="J46" s="173"/>
      <c r="K46" s="209" t="s">
        <v>121</v>
      </c>
      <c r="L46" s="173"/>
      <c r="M46" s="209" t="s">
        <v>121</v>
      </c>
      <c r="N46" s="173"/>
      <c r="O46" s="146" t="str">
        <f ca="1">IFERROR(INDEX(Events!$A:$A,MATCH(O44,Events!$I:$I,0)),"")</f>
        <v/>
      </c>
      <c r="P46" s="147"/>
      <c r="R46" s="231"/>
    </row>
    <row r="47" spans="1:18" s="54" customFormat="1" ht="10.199999999999999" customHeight="1" x14ac:dyDescent="0.2">
      <c r="A47" s="143"/>
      <c r="C47" s="180" t="str">
        <f ca="1">IFERROR(INDEX(Events!$A:$A,MATCH(C44,Events!$J:$J,0)),"")</f>
        <v/>
      </c>
      <c r="D47" s="181"/>
      <c r="E47" s="180" t="s">
        <v>120</v>
      </c>
      <c r="F47" s="181"/>
      <c r="G47" s="180" t="s">
        <v>120</v>
      </c>
      <c r="H47" s="181"/>
      <c r="I47" s="180" t="s">
        <v>120</v>
      </c>
      <c r="J47" s="181"/>
      <c r="K47" s="180" t="s">
        <v>120</v>
      </c>
      <c r="L47" s="181"/>
      <c r="M47" s="180" t="s">
        <v>120</v>
      </c>
      <c r="N47" s="181"/>
      <c r="O47" s="180" t="str">
        <f ca="1">IFERROR(INDEX(Events!$A:$A,MATCH(O44,Events!$J:$J,0)),"")</f>
        <v/>
      </c>
      <c r="P47" s="181"/>
      <c r="R47" s="231"/>
    </row>
    <row r="48" spans="1:18" s="1" customFormat="1" ht="10.199999999999999" customHeight="1" x14ac:dyDescent="0.2">
      <c r="A48" s="143"/>
      <c r="C48" s="102">
        <f>IF(O44="","",IF(MONTH(O44+1)&lt;&gt;MONTH(O44),"",O44+1))</f>
        <v>46075</v>
      </c>
      <c r="D48" s="52" t="str">
        <f>IFERROR(INDEX(Events!$A:$A,MATCH(C48,Events!$G:$G,0)),"")</f>
        <v/>
      </c>
      <c r="E48" s="50">
        <f>IF(C48="","",IF(MONTH(C48+1)&lt;&gt;MONTH(C48),"",C48+1))</f>
        <v>46076</v>
      </c>
      <c r="F48" s="52" t="str">
        <f>IFERROR(INDEX(Events!$A:$A,MATCH(E48,Events!$G:$G,0)),"")</f>
        <v/>
      </c>
      <c r="G48" s="50">
        <f>IF(E48="","",IF(MONTH(E48+1)&lt;&gt;MONTH(E48),"",E48+1))</f>
        <v>46077</v>
      </c>
      <c r="H48" s="52" t="str">
        <f>IFERROR(INDEX(Events!$A:$A,MATCH(G48,Events!$G:$G,0)),"")</f>
        <v/>
      </c>
      <c r="I48" s="50">
        <f>IF(G48="","",IF(MONTH(G48+1)&lt;&gt;MONTH(G48),"",G48+1))</f>
        <v>46078</v>
      </c>
      <c r="J48" s="52" t="str">
        <f>IFERROR(INDEX(Events!$A:$A,MATCH(I48,Events!$G:$G,0)),"")</f>
        <v/>
      </c>
      <c r="K48" s="50">
        <f>IF(I48="","",IF(MONTH(I48+1)&lt;&gt;MONTH(I48),"",I48+1))</f>
        <v>46079</v>
      </c>
      <c r="L48" s="52" t="str">
        <f>IFERROR(INDEX(Events!$A:$A,MATCH(K48,Events!$G:$G,0)),"")</f>
        <v/>
      </c>
      <c r="M48" s="50">
        <f>IF(K48="","",IF(MONTH(K48+1)&lt;&gt;MONTH(K48),"",K48+1))</f>
        <v>46080</v>
      </c>
      <c r="N48" s="52" t="str">
        <f>IFERROR(INDEX(Events!$A:$A,MATCH(M48,Events!$G:$G,0)),"")</f>
        <v/>
      </c>
      <c r="O48" s="50">
        <f>IF(M48="","",IF(MONTH(M48+1)&lt;&gt;MONTH(M48),"",M48+1))</f>
        <v>46081</v>
      </c>
      <c r="P48" s="52" t="str">
        <f>IFERROR(INDEX(Events!$A:$A,MATCH(O48,Events!$G:$G,0)),"")</f>
        <v/>
      </c>
      <c r="R48" s="231" t="s">
        <v>134</v>
      </c>
    </row>
    <row r="49" spans="1:18" s="54" customFormat="1" ht="10.199999999999999" customHeight="1" x14ac:dyDescent="0.2">
      <c r="A49" s="143"/>
      <c r="C49" s="146" t="str">
        <f ca="1">IFERROR(INDEX(Events!$A:$A,MATCH(C48,Events!$H:$H,0)),"")</f>
        <v/>
      </c>
      <c r="D49" s="147"/>
      <c r="E49" s="146" t="str">
        <f ca="1">IFERROR(INDEX(Events!$A:$A,MATCH(E48,Events!$H:$H,0)),"")</f>
        <v/>
      </c>
      <c r="F49" s="147"/>
      <c r="G49" s="146" t="str">
        <f ca="1">IFERROR(INDEX(Events!$A:$A,MATCH(G48,Events!$H:$H,0)),"")</f>
        <v/>
      </c>
      <c r="H49" s="147"/>
      <c r="I49" s="146" t="str">
        <f ca="1">IFERROR(INDEX(Events!$A:$A,MATCH(I48,Events!$H:$H,0)),"")</f>
        <v/>
      </c>
      <c r="J49" s="147"/>
      <c r="K49" s="146" t="str">
        <f ca="1">IFERROR(INDEX(Events!$A:$A,MATCH(K48,Events!$H:$H,0)),"")</f>
        <v/>
      </c>
      <c r="L49" s="147"/>
      <c r="M49" s="146" t="str">
        <f ca="1">IFERROR(INDEX(Events!$A:$A,MATCH(M48,Events!$H:$H,0)),"")</f>
        <v/>
      </c>
      <c r="N49" s="147"/>
      <c r="O49" s="146" t="str">
        <f ca="1">IFERROR(INDEX(Events!$A:$A,MATCH(O48,Events!$H:$H,0)),"")</f>
        <v/>
      </c>
      <c r="P49" s="147"/>
      <c r="R49" s="231"/>
    </row>
    <row r="50" spans="1:18" s="54" customFormat="1" ht="10.199999999999999" customHeight="1" x14ac:dyDescent="0.2">
      <c r="A50" s="143"/>
      <c r="C50" s="146" t="str">
        <f ca="1">IFERROR(INDEX(Events!$A:$A,MATCH(C48,Events!$I:$I,0)),"")</f>
        <v/>
      </c>
      <c r="D50" s="147"/>
      <c r="E50" s="209" t="s">
        <v>121</v>
      </c>
      <c r="F50" s="173"/>
      <c r="G50" s="209" t="s">
        <v>121</v>
      </c>
      <c r="H50" s="173"/>
      <c r="I50" s="209" t="s">
        <v>121</v>
      </c>
      <c r="J50" s="173"/>
      <c r="K50" s="209" t="s">
        <v>121</v>
      </c>
      <c r="L50" s="173"/>
      <c r="M50" s="209" t="s">
        <v>121</v>
      </c>
      <c r="N50" s="173"/>
      <c r="O50" s="146" t="str">
        <f ca="1">IFERROR(INDEX(Events!$A:$A,MATCH(O48,Events!$I:$I,0)),"")</f>
        <v/>
      </c>
      <c r="P50" s="147"/>
      <c r="R50" s="231"/>
    </row>
    <row r="51" spans="1:18" s="54" customFormat="1" ht="10.199999999999999" customHeight="1" x14ac:dyDescent="0.2">
      <c r="A51" s="143"/>
      <c r="C51" s="180" t="str">
        <f ca="1">IFERROR(INDEX(Events!$A:$A,MATCH(C48,Events!$J:$J,0)),"")</f>
        <v/>
      </c>
      <c r="D51" s="181"/>
      <c r="E51" s="180" t="s">
        <v>120</v>
      </c>
      <c r="F51" s="181"/>
      <c r="G51" s="180" t="s">
        <v>120</v>
      </c>
      <c r="H51" s="181"/>
      <c r="I51" s="180" t="s">
        <v>120</v>
      </c>
      <c r="J51" s="181"/>
      <c r="K51" s="180" t="s">
        <v>120</v>
      </c>
      <c r="L51" s="181"/>
      <c r="M51" s="180" t="s">
        <v>120</v>
      </c>
      <c r="N51" s="181"/>
      <c r="O51" s="180" t="str">
        <f ca="1">IFERROR(INDEX(Events!$A:$A,MATCH(O48,Events!$J:$J,0)),"")</f>
        <v/>
      </c>
      <c r="P51" s="181"/>
      <c r="R51" s="231"/>
    </row>
    <row r="52" spans="1:18" ht="10.199999999999999" hidden="1" customHeight="1" x14ac:dyDescent="0.25">
      <c r="A52" s="143"/>
      <c r="C52" s="102" t="str">
        <f>IF(O48="","",IF(MONTH(O48+1)&lt;&gt;MONTH(O48),"",O48+1))</f>
        <v/>
      </c>
      <c r="D52" s="52" t="str">
        <f>IFERROR(INDEX(Events!$A:$A,MATCH(C52,Events!$G:$G,0)),"")</f>
        <v/>
      </c>
      <c r="E52" s="50" t="str">
        <f>IF(C52="","",IF(MONTH(C52+1)&lt;&gt;MONTH(C52),"",C52+1))</f>
        <v/>
      </c>
      <c r="F52" s="52" t="str">
        <f>IFERROR(INDEX(Events!$A:$A,MATCH(E52,Events!$G:$G,0)),"")</f>
        <v/>
      </c>
      <c r="G52" s="50" t="str">
        <f>IF(E52="","",IF(MONTH(E52+1)&lt;&gt;MONTH(E52),"",E52+1))</f>
        <v/>
      </c>
      <c r="H52" s="52" t="str">
        <f>IFERROR(INDEX(Events!$A:$A,MATCH(G52,Events!$G:$G,0)),"")</f>
        <v/>
      </c>
      <c r="I52" s="50" t="str">
        <f>IF(G52="","",IF(MONTH(G52+1)&lt;&gt;MONTH(G52),"",G52+1))</f>
        <v/>
      </c>
      <c r="J52" s="52" t="str">
        <f>IFERROR(INDEX(Events!$A:$A,MATCH(I52,Events!$G:$G,0)),"")</f>
        <v/>
      </c>
      <c r="K52" s="50" t="str">
        <f>IF(I52="","",IF(MONTH(I52+1)&lt;&gt;MONTH(I52),"",I52+1))</f>
        <v/>
      </c>
      <c r="L52" s="99" t="s">
        <v>148</v>
      </c>
      <c r="M52" s="50" t="str">
        <f>IF(K52="","",IF(MONTH(K52+1)&lt;&gt;MONTH(K52),"",K52+1))</f>
        <v/>
      </c>
      <c r="N52" s="99" t="s">
        <v>149</v>
      </c>
      <c r="O52" s="50" t="str">
        <f>IF(M52="","",IF(MONTH(M52+1)&lt;&gt;MONTH(M52),"",M52+1))</f>
        <v/>
      </c>
      <c r="P52" s="52" t="str">
        <f>IFERROR(INDEX(Events!$A:$A,MATCH(O52,Events!$G:$G,0)),"")</f>
        <v/>
      </c>
      <c r="R52" s="231" t="s">
        <v>134</v>
      </c>
    </row>
    <row r="53" spans="1:18" s="54" customFormat="1" ht="10.199999999999999" hidden="1" customHeight="1" x14ac:dyDescent="0.2">
      <c r="A53" s="143"/>
      <c r="C53" s="146" t="str">
        <f ca="1">IFERROR(INDEX(Events!$A:$A,MATCH(C52,Events!$H:$H,0)),"")</f>
        <v/>
      </c>
      <c r="D53" s="147"/>
      <c r="E53" s="146" t="str">
        <f ca="1">IFERROR(INDEX(Events!$A:$A,MATCH(E52,Events!$H:$H,0)),"")</f>
        <v/>
      </c>
      <c r="F53" s="147"/>
      <c r="G53" s="146" t="str">
        <f ca="1">IFERROR(INDEX(Events!$A:$A,MATCH(G52,Events!$H:$H,0)),"")</f>
        <v/>
      </c>
      <c r="H53" s="147"/>
      <c r="I53" s="146" t="str">
        <f ca="1">IFERROR(INDEX(Events!$A:$A,MATCH(I52,Events!$H:$H,0)),"")</f>
        <v/>
      </c>
      <c r="J53" s="147"/>
      <c r="K53" s="146" t="str">
        <f ca="1">IFERROR(INDEX(Events!$A:$A,MATCH(K52,Events!$H:$H,0)),"")</f>
        <v/>
      </c>
      <c r="L53" s="147"/>
      <c r="M53" s="146" t="str">
        <f ca="1">IFERROR(INDEX(Events!$A:$A,MATCH(M52,Events!$H:$H,0)),"")</f>
        <v/>
      </c>
      <c r="N53" s="147"/>
      <c r="O53" s="146" t="str">
        <f ca="1">IFERROR(INDEX(Events!$A:$A,MATCH(O52,Events!$H:$H,0)),"")</f>
        <v/>
      </c>
      <c r="P53" s="147"/>
      <c r="R53" s="231"/>
    </row>
    <row r="54" spans="1:18" s="54" customFormat="1" ht="10.199999999999999" hidden="1" customHeight="1" x14ac:dyDescent="0.2">
      <c r="A54" s="143"/>
      <c r="C54" s="146" t="str">
        <f ca="1">IFERROR(INDEX(Events!$A:$A,MATCH(C52,Events!$I:$I,0)),"")</f>
        <v/>
      </c>
      <c r="D54" s="147"/>
      <c r="E54" s="209" t="s">
        <v>121</v>
      </c>
      <c r="F54" s="173"/>
      <c r="G54" s="146" t="str">
        <f ca="1">IFERROR(INDEX(Events!$A:$A,MATCH(G52,Events!$I:$I,0)),"")</f>
        <v/>
      </c>
      <c r="H54" s="147"/>
      <c r="I54" s="146" t="str">
        <f ca="1">IFERROR(INDEX(Events!$A:$A,MATCH(I52,Events!$I:$I,0)),"")</f>
        <v/>
      </c>
      <c r="J54" s="147"/>
      <c r="K54" s="209" t="s">
        <v>121</v>
      </c>
      <c r="L54" s="173"/>
      <c r="M54" s="209" t="s">
        <v>121</v>
      </c>
      <c r="N54" s="173"/>
      <c r="O54" s="146" t="str">
        <f ca="1">IFERROR(INDEX(Events!$A:$A,MATCH(O52,Events!$I:$I,0)),"")</f>
        <v/>
      </c>
      <c r="P54" s="147"/>
      <c r="R54" s="231"/>
    </row>
    <row r="55" spans="1:18" s="54" customFormat="1" ht="10.199999999999999" hidden="1" customHeight="1" x14ac:dyDescent="0.2">
      <c r="A55" s="143"/>
      <c r="C55" s="211" t="str">
        <f ca="1">IFERROR(INDEX(Events!$A:$A,MATCH(C52,Events!$J:$J,0)),"")</f>
        <v/>
      </c>
      <c r="D55" s="177"/>
      <c r="E55" s="211" t="s">
        <v>120</v>
      </c>
      <c r="F55" s="177"/>
      <c r="G55" s="211" t="s">
        <v>120</v>
      </c>
      <c r="H55" s="177"/>
      <c r="I55" s="211" t="s">
        <v>120</v>
      </c>
      <c r="J55" s="177"/>
      <c r="K55" s="211" t="s">
        <v>120</v>
      </c>
      <c r="L55" s="177"/>
      <c r="M55" s="211" t="s">
        <v>120</v>
      </c>
      <c r="N55" s="177"/>
      <c r="O55" s="180" t="str">
        <f ca="1">IFERROR(INDEX(Events!$A:$A,MATCH(O52,Events!$J:$J,0)),"")</f>
        <v/>
      </c>
      <c r="P55" s="181"/>
      <c r="R55" s="231"/>
    </row>
    <row r="56" spans="1:18" ht="8.4" hidden="1" customHeight="1" x14ac:dyDescent="0.25">
      <c r="C56" s="132" t="str">
        <f>IF(O52="","",IF(MONTH(O52+1)&lt;&gt;MONTH(O52),"",O52+1))</f>
        <v/>
      </c>
      <c r="D56" s="94" t="str">
        <f>IFERROR(INDEX(Events!$A:$A,MATCH(C56,Events!$G:$G,0)),"")</f>
        <v/>
      </c>
      <c r="E56" s="93" t="str">
        <f>IF(C56="","",IF(MONTH(C56+1)&lt;&gt;MONTH(C56),"",C56+1))</f>
        <v/>
      </c>
      <c r="F56" s="94" t="str">
        <f>IFERROR(INDEX(Events!$A:$A,MATCH(E56,Events!$G:$G,0)),"")</f>
        <v/>
      </c>
    </row>
    <row r="57" spans="1:18" s="54" customFormat="1" ht="8.4" hidden="1" customHeight="1" x14ac:dyDescent="0.2">
      <c r="C57" s="133" t="str">
        <f ca="1">IFERROR(INDEX(Events!$A:$A,MATCH(C56,Events!$H:$H,0)),"")</f>
        <v/>
      </c>
      <c r="D57" s="95" t="str">
        <f ca="1">IFERROR(INDEX(Events!#REF!,MATCH(C57,Events!A:A,0)),"")</f>
        <v/>
      </c>
      <c r="E57" s="95" t="str">
        <f ca="1">IFERROR(INDEX(Events!$A:$A,MATCH(E56,Events!$H:$H,0)),"")</f>
        <v/>
      </c>
      <c r="F57" s="95" t="str">
        <f ca="1">IFERROR(INDEX(Events!#REF!,MATCH(E57,Events!C:C,0)),"")</f>
        <v/>
      </c>
      <c r="J57" s="55"/>
      <c r="K57" s="55"/>
      <c r="L57" s="55"/>
      <c r="M57" s="55"/>
      <c r="N57" s="55"/>
      <c r="O57" s="55"/>
      <c r="P57" s="55"/>
      <c r="R57" s="135"/>
    </row>
    <row r="58" spans="1:18" s="54" customFormat="1" ht="8.4" hidden="1" customHeight="1" x14ac:dyDescent="0.2">
      <c r="C58" s="165" t="str">
        <f ca="1">IFERROR(INDEX(Events!$A:$A,MATCH(C56,Events!$I:$I,0)),"")</f>
        <v/>
      </c>
      <c r="D58" s="165"/>
      <c r="E58" s="165" t="str">
        <f ca="1">IFERROR(INDEX(Events!$A:$A,MATCH(E56,Events!$I:$I,0)),"")</f>
        <v/>
      </c>
      <c r="F58" s="165"/>
      <c r="I58" s="210"/>
      <c r="J58" s="210"/>
      <c r="K58" s="210"/>
      <c r="L58" s="210"/>
      <c r="M58" s="210"/>
      <c r="N58" s="210"/>
      <c r="O58" s="210"/>
      <c r="P58" s="210"/>
      <c r="R58" s="135"/>
    </row>
    <row r="59" spans="1:18" s="54" customFormat="1" ht="8.4" hidden="1" customHeight="1" x14ac:dyDescent="0.2">
      <c r="C59" s="165" t="str">
        <f ca="1">IFERROR(INDEX(Events!$A:$A,MATCH(C56,Events!$J:$J,0)),"")</f>
        <v/>
      </c>
      <c r="D59" s="165"/>
      <c r="E59" s="165"/>
      <c r="F59" s="165"/>
      <c r="I59" s="210"/>
      <c r="J59" s="210"/>
      <c r="K59" s="210"/>
      <c r="L59" s="210"/>
      <c r="M59" s="210"/>
      <c r="N59" s="210"/>
      <c r="O59" s="210"/>
      <c r="P59" s="210"/>
      <c r="R59" s="135"/>
    </row>
    <row r="60" spans="1:18" ht="8.4" customHeight="1" x14ac:dyDescent="0.55000000000000004">
      <c r="I60" s="210"/>
      <c r="J60" s="210"/>
      <c r="K60" s="210"/>
      <c r="L60" s="210"/>
      <c r="M60" s="210"/>
      <c r="N60" s="210"/>
      <c r="O60" s="210"/>
      <c r="P60" s="210"/>
    </row>
    <row r="61" spans="1:18" ht="8.4" hidden="1" customHeight="1" x14ac:dyDescent="0.25">
      <c r="C61" t="s">
        <v>1</v>
      </c>
      <c r="D61" s="6">
        <f>DATE(YEAR('1Q26 '!$D$7),MONTH('1Q26 '!$D$7)+2,1)</f>
        <v>46082</v>
      </c>
      <c r="E61" s="1"/>
      <c r="F61" s="1"/>
      <c r="G61" s="1"/>
      <c r="H61" s="1"/>
      <c r="I61" s="1"/>
      <c r="J61" s="1"/>
      <c r="K61" s="1"/>
      <c r="L61" s="1"/>
      <c r="M61" s="1"/>
      <c r="N61" s="1"/>
      <c r="O61" s="1"/>
      <c r="P61" s="1"/>
    </row>
    <row r="62" spans="1:18" s="56" customFormat="1" ht="18" customHeight="1" x14ac:dyDescent="0.25">
      <c r="A62" s="143">
        <f>D61</f>
        <v>46082</v>
      </c>
      <c r="C62" s="144" t="s">
        <v>109</v>
      </c>
      <c r="D62" s="145"/>
      <c r="E62" s="144" t="s">
        <v>110</v>
      </c>
      <c r="F62" s="145"/>
      <c r="G62" s="144" t="s">
        <v>111</v>
      </c>
      <c r="H62" s="145"/>
      <c r="I62" s="144" t="s">
        <v>112</v>
      </c>
      <c r="J62" s="145"/>
      <c r="K62" s="144" t="s">
        <v>113</v>
      </c>
      <c r="L62" s="145"/>
      <c r="M62" s="144" t="s">
        <v>114</v>
      </c>
      <c r="N62" s="145"/>
      <c r="O62" s="144" t="s">
        <v>115</v>
      </c>
      <c r="P62" s="145"/>
      <c r="R62" s="136" t="s">
        <v>132</v>
      </c>
    </row>
    <row r="63" spans="1:18" ht="10.199999999999999" customHeight="1" x14ac:dyDescent="0.25">
      <c r="A63" s="143"/>
      <c r="C63" s="102">
        <f>IF(WEEKDAY($D$61,1)=startday,$D$61,"")</f>
        <v>46082</v>
      </c>
      <c r="D63" s="52" t="str">
        <f>IFERROR(INDEX(Events!$A:$A,MATCH(C63,Events!$G:$G,0)),"")</f>
        <v/>
      </c>
      <c r="E63" s="107">
        <f>IF(C63="","",IF(MONTH(C63+1)&lt;&gt;MONTH(C63),"",C63+1))</f>
        <v>46083</v>
      </c>
      <c r="F63" s="108" t="s">
        <v>141</v>
      </c>
      <c r="G63" s="50">
        <f>IF(E63="",IF(WEEKDAY($D$61,1)=MOD(startday+1,7)+1,$D$61,""),E63+1)</f>
        <v>46084</v>
      </c>
      <c r="H63" s="97" t="s">
        <v>142</v>
      </c>
      <c r="I63" s="50">
        <f>IF(G63="",IF(WEEKDAY($D$61,1)=MOD(startday+2,7)+1,$D$61,""),G63+1)</f>
        <v>46085</v>
      </c>
      <c r="J63" s="97" t="s">
        <v>143</v>
      </c>
      <c r="K63" s="50">
        <f>IF(I63="",IF(WEEKDAY($D$61,1)=MOD(startday+3,7)+1,$D$61,""),I63+1)</f>
        <v>46086</v>
      </c>
      <c r="L63" s="97" t="s">
        <v>144</v>
      </c>
      <c r="M63" s="50">
        <f>IF(K63="",IF(WEEKDAY($D$61,1)=MOD(startday+4,7)+1,$D$61,""),K63+1)</f>
        <v>46087</v>
      </c>
      <c r="N63" s="97" t="s">
        <v>145</v>
      </c>
      <c r="O63" s="50">
        <f>IF(M63="",IF(WEEKDAY($D$61,1)=MOD(startday+5,7)+1,$D$61,""),M63+1)</f>
        <v>46088</v>
      </c>
      <c r="P63" s="52"/>
      <c r="R63" s="230" t="s">
        <v>136</v>
      </c>
    </row>
    <row r="64" spans="1:18" s="54" customFormat="1" ht="10.199999999999999" customHeight="1" x14ac:dyDescent="0.2">
      <c r="A64" s="143"/>
      <c r="C64" s="146" t="str">
        <f ca="1">IFERROR(INDEX(Events!$A:$A,MATCH(C63,Events!$H:$H,0)),"")</f>
        <v/>
      </c>
      <c r="D64" s="147"/>
      <c r="E64" s="191" t="s">
        <v>165</v>
      </c>
      <c r="F64" s="192"/>
      <c r="G64" s="187" t="s">
        <v>163</v>
      </c>
      <c r="H64" s="188" t="str">
        <f>IFERROR(INDEX(Events!#REF!,MATCH(G64,Events!E:E,0)),"")</f>
        <v/>
      </c>
      <c r="I64" s="146" t="str">
        <f ca="1">IFERROR(INDEX(Events!$A:$A,MATCH(I63,Events!$H:$H,0)),"")</f>
        <v/>
      </c>
      <c r="J64" s="147"/>
      <c r="K64" s="146" t="str">
        <f ca="1">IFERROR(INDEX(Events!$A:$A,MATCH(K63,Events!$H:$H,0)),"")</f>
        <v/>
      </c>
      <c r="L64" s="147"/>
      <c r="M64" s="193" t="s">
        <v>119</v>
      </c>
      <c r="N64" s="167" t="str">
        <f>IFERROR(INDEX(Events!#REF!,MATCH(M64,Events!#REF!,0)),"")</f>
        <v/>
      </c>
      <c r="O64" s="146" t="str">
        <f ca="1">IFERROR(INDEX(Events!$A:$A,MATCH(O63,Events!$H:$H,0)),"")</f>
        <v/>
      </c>
      <c r="P64" s="147"/>
      <c r="R64" s="230"/>
    </row>
    <row r="65" spans="1:18" s="54" customFormat="1" ht="10.199999999999999" customHeight="1" x14ac:dyDescent="0.2">
      <c r="A65" s="143"/>
      <c r="C65" s="146" t="str">
        <f ca="1">IFERROR(INDEX(Events!$A:$A,MATCH(C63,Events!$I:$I,0)),"")</f>
        <v/>
      </c>
      <c r="D65" s="147"/>
      <c r="E65" s="191" t="s">
        <v>121</v>
      </c>
      <c r="F65" s="192"/>
      <c r="G65" s="209" t="s">
        <v>121</v>
      </c>
      <c r="H65" s="173"/>
      <c r="I65" s="209" t="s">
        <v>121</v>
      </c>
      <c r="J65" s="173"/>
      <c r="K65" s="209" t="s">
        <v>121</v>
      </c>
      <c r="L65" s="173"/>
      <c r="M65" s="209" t="s">
        <v>121</v>
      </c>
      <c r="N65" s="173"/>
      <c r="O65" s="146" t="str">
        <f ca="1">IFERROR(INDEX(Events!$A:$A,MATCH(O63,Events!$I:$I,0)),"")</f>
        <v/>
      </c>
      <c r="P65" s="147"/>
      <c r="R65" s="230"/>
    </row>
    <row r="66" spans="1:18" s="54" customFormat="1" ht="10.199999999999999" customHeight="1" x14ac:dyDescent="0.2">
      <c r="A66" s="143"/>
      <c r="C66" s="146" t="s">
        <v>120</v>
      </c>
      <c r="D66" s="147"/>
      <c r="E66" s="191" t="s">
        <v>120</v>
      </c>
      <c r="F66" s="192"/>
      <c r="G66" s="211" t="s">
        <v>120</v>
      </c>
      <c r="H66" s="177"/>
      <c r="I66" s="211" t="s">
        <v>120</v>
      </c>
      <c r="J66" s="177"/>
      <c r="K66" s="211" t="s">
        <v>120</v>
      </c>
      <c r="L66" s="177"/>
      <c r="M66" s="211" t="s">
        <v>120</v>
      </c>
      <c r="N66" s="177"/>
      <c r="O66" s="211"/>
      <c r="P66" s="177"/>
      <c r="R66" s="230"/>
    </row>
    <row r="67" spans="1:18" ht="10.199999999999999" customHeight="1" x14ac:dyDescent="0.25">
      <c r="A67" s="143"/>
      <c r="C67" s="102">
        <f>IF(O63="","",IF(MONTH(O63+1)&lt;&gt;MONTH(O63),"",O63+1))</f>
        <v>46089</v>
      </c>
      <c r="D67" s="52" t="str">
        <f>IFERROR(INDEX(Events!$A:$A,MATCH(C67,Events!$G:$G,0)),"")</f>
        <v>Daylight Saving</v>
      </c>
      <c r="E67" s="50">
        <f>IF(C67="","",IF(MONTH(C67+1)&lt;&gt;MONTH(C67),"",C67+1))</f>
        <v>46090</v>
      </c>
      <c r="F67" s="97" t="s">
        <v>146</v>
      </c>
      <c r="G67" s="50">
        <f>IF(E67="","",IF(MONTH(E67+1)&lt;&gt;MONTH(E67),"",E67+1))</f>
        <v>46091</v>
      </c>
      <c r="H67" s="97" t="s">
        <v>147</v>
      </c>
      <c r="I67" s="50">
        <f>IF(G67="","",IF(MONTH(G67+1)&lt;&gt;MONTH(G67),"",G67+1))</f>
        <v>46092</v>
      </c>
      <c r="J67" s="97" t="s">
        <v>151</v>
      </c>
      <c r="K67" s="50">
        <f>IF(I67="","",IF(MONTH(I67+1)&lt;&gt;MONTH(I67),"",I67+1))</f>
        <v>46093</v>
      </c>
      <c r="L67" s="97" t="s">
        <v>153</v>
      </c>
      <c r="M67" s="50">
        <f>IF(K67="","",IF(MONTH(K67+1)&lt;&gt;MONTH(K67),"",K67+1))</f>
        <v>46094</v>
      </c>
      <c r="N67" s="97" t="s">
        <v>154</v>
      </c>
      <c r="O67" s="50">
        <f>IF(M67="","",IF(MONTH(M67+1)&lt;&gt;MONTH(M67),"",M67+1))</f>
        <v>46095</v>
      </c>
      <c r="P67" s="52" t="str">
        <f>IFERROR(INDEX(Events!$A:$A,MATCH(O67,Events!$G:$G,0)),"")</f>
        <v/>
      </c>
      <c r="R67" s="231" t="s">
        <v>137</v>
      </c>
    </row>
    <row r="68" spans="1:18" s="54" customFormat="1" ht="10.199999999999999" customHeight="1" x14ac:dyDescent="0.2">
      <c r="A68" s="143"/>
      <c r="C68" s="146" t="str">
        <f ca="1">IFERROR(INDEX(Events!$A:$A,MATCH(C67,Events!$H:$H,0)),"")</f>
        <v/>
      </c>
      <c r="D68" s="147"/>
      <c r="E68" s="196" t="s">
        <v>162</v>
      </c>
      <c r="F68" s="197" t="str">
        <f>IFERROR(INDEX(Events!#REF!,MATCH(E68,Events!#REF!,0)),"")</f>
        <v/>
      </c>
      <c r="G68" s="203" t="s">
        <v>189</v>
      </c>
      <c r="H68" s="204"/>
      <c r="I68" s="146" t="str">
        <f ca="1">IFERROR(INDEX(Events!$A:$A,MATCH(I67,Events!$H:$H,0)),"")</f>
        <v/>
      </c>
      <c r="J68" s="147"/>
      <c r="K68" s="146" t="str">
        <f ca="1">IFERROR(INDEX(Events!$A:$A,MATCH(K67,Events!$H:$H,0)),"")</f>
        <v/>
      </c>
      <c r="L68" s="147"/>
      <c r="M68" s="146" t="str">
        <f ca="1">IFERROR(INDEX(Events!$A:$A,MATCH(M67,Events!$H:$H,0)),"")</f>
        <v/>
      </c>
      <c r="N68" s="147"/>
      <c r="O68" s="146" t="str">
        <f ca="1">IFERROR(INDEX(Events!$A:$A,MATCH(O67,Events!$H:$H,0)),"")</f>
        <v/>
      </c>
      <c r="P68" s="147"/>
      <c r="R68" s="231"/>
    </row>
    <row r="69" spans="1:18" s="54" customFormat="1" ht="10.199999999999999" customHeight="1" x14ac:dyDescent="0.2">
      <c r="A69" s="143"/>
      <c r="C69" s="146" t="str">
        <f ca="1">IFERROR(INDEX(Events!$A:$A,MATCH(C67,Events!$I:$I,0)),"")</f>
        <v/>
      </c>
      <c r="D69" s="147"/>
      <c r="E69" s="209" t="s">
        <v>121</v>
      </c>
      <c r="F69" s="173"/>
      <c r="G69" s="209" t="s">
        <v>121</v>
      </c>
      <c r="H69" s="173"/>
      <c r="I69" s="209" t="s">
        <v>121</v>
      </c>
      <c r="J69" s="173"/>
      <c r="K69" s="209" t="s">
        <v>121</v>
      </c>
      <c r="L69" s="173"/>
      <c r="M69" s="209" t="s">
        <v>121</v>
      </c>
      <c r="N69" s="173"/>
      <c r="O69" s="146" t="str">
        <f ca="1">IFERROR(INDEX(Events!$A:$A,MATCH(O67,Events!$I:$I,0)),"")</f>
        <v/>
      </c>
      <c r="P69" s="147"/>
      <c r="R69" s="231"/>
    </row>
    <row r="70" spans="1:18" s="54" customFormat="1" ht="10.199999999999999" customHeight="1" x14ac:dyDescent="0.2">
      <c r="A70" s="143"/>
      <c r="C70" s="146" t="str">
        <f ca="1">IFERROR(INDEX(Events!$A:$A,MATCH(C67,Events!$J:$J,0)),"")</f>
        <v/>
      </c>
      <c r="D70" s="147"/>
      <c r="E70" s="146" t="s">
        <v>120</v>
      </c>
      <c r="F70" s="147"/>
      <c r="G70" s="211" t="s">
        <v>120</v>
      </c>
      <c r="H70" s="177"/>
      <c r="I70" s="211" t="s">
        <v>120</v>
      </c>
      <c r="J70" s="177"/>
      <c r="K70" s="211" t="s">
        <v>120</v>
      </c>
      <c r="L70" s="177"/>
      <c r="M70" s="211" t="s">
        <v>120</v>
      </c>
      <c r="N70" s="177"/>
      <c r="O70" s="146" t="str">
        <f ca="1">IFERROR(INDEX(Events!$A:$A,MATCH(O67,Events!$J:$J,0)),"")</f>
        <v/>
      </c>
      <c r="P70" s="147"/>
      <c r="R70" s="231"/>
    </row>
    <row r="71" spans="1:18" ht="10.199999999999999" customHeight="1" x14ac:dyDescent="0.25">
      <c r="A71" s="143"/>
      <c r="C71" s="102">
        <f>IF(O67="","",IF(MONTH(O67+1)&lt;&gt;MONTH(O67),"",O67+1))</f>
        <v>46096</v>
      </c>
      <c r="D71" s="52" t="str">
        <f>IFERROR(INDEX(Events!$A:$A,MATCH(C71,Events!$G:$G,0)),"")</f>
        <v/>
      </c>
      <c r="E71" s="50">
        <f>IF(C71="","",IF(MONTH(C71+1)&lt;&gt;MONTH(C71),"",C71+1))</f>
        <v>46097</v>
      </c>
      <c r="F71" s="97"/>
      <c r="G71" s="102">
        <f>IF(E71="","",IF(MONTH(E71+1)&lt;&gt;MONTH(E71),"",E71+1))</f>
        <v>46098</v>
      </c>
      <c r="H71" s="97"/>
      <c r="I71" s="102">
        <f>IF(G71="","",IF(MONTH(G71+1)&lt;&gt;MONTH(G71),"",G71+1))</f>
        <v>46099</v>
      </c>
      <c r="J71" s="98" t="s">
        <v>168</v>
      </c>
      <c r="K71" s="102">
        <f>IF(I71="","",IF(MONTH(I71+1)&lt;&gt;MONTH(I71),"",I71+1))</f>
        <v>46100</v>
      </c>
      <c r="L71" s="98" t="s">
        <v>167</v>
      </c>
      <c r="M71" s="102">
        <f>IF(K71="","",IF(MONTH(K71+1)&lt;&gt;MONTH(K71),"",K71+1))</f>
        <v>46101</v>
      </c>
      <c r="N71" s="98" t="s">
        <v>166</v>
      </c>
      <c r="O71" s="50">
        <f>IF(M71="","",IF(MONTH(M71+1)&lt;&gt;MONTH(M71),"",M71+1))</f>
        <v>46102</v>
      </c>
      <c r="P71" s="52" t="str">
        <f>IFERROR(INDEX(Events!$A:$A,MATCH(O71,Events!$G:$G,0)),"")</f>
        <v/>
      </c>
      <c r="R71" s="231" t="s">
        <v>138</v>
      </c>
    </row>
    <row r="72" spans="1:18" s="54" customFormat="1" ht="10.199999999999999" customHeight="1" x14ac:dyDescent="0.2">
      <c r="A72" s="143"/>
      <c r="C72" s="146" t="str">
        <f ca="1">IFERROR(INDEX(Events!$A:$A,MATCH(C71,Events!$H:$H,0)),"")</f>
        <v/>
      </c>
      <c r="D72" s="147"/>
      <c r="E72" s="146" t="str">
        <f ca="1">IFERROR(INDEX(Events!$A:$A,MATCH(E71,Events!$H:$H,0)),"")</f>
        <v/>
      </c>
      <c r="F72" s="147"/>
      <c r="G72" s="203" t="s">
        <v>184</v>
      </c>
      <c r="H72" s="204"/>
      <c r="I72" s="146" t="str">
        <f ca="1">IFERROR(INDEX(Events!$A:$A,MATCH(I71,Events!$H:$H,0)),"")</f>
        <v/>
      </c>
      <c r="J72" s="147"/>
      <c r="K72" s="146" t="str">
        <f ca="1">IFERROR(INDEX(Events!$A:$A,MATCH(K71,Events!$H:$H,0)),"")</f>
        <v/>
      </c>
      <c r="L72" s="147"/>
      <c r="M72" s="146"/>
      <c r="N72" s="147"/>
      <c r="O72" s="146" t="str">
        <f ca="1">IFERROR(INDEX(Events!$A:$A,MATCH(O71,Events!$H:$H,0)),"")</f>
        <v/>
      </c>
      <c r="P72" s="147"/>
      <c r="R72" s="231"/>
    </row>
    <row r="73" spans="1:18" s="54" customFormat="1" ht="10.199999999999999" customHeight="1" x14ac:dyDescent="0.2">
      <c r="A73" s="143"/>
      <c r="C73" s="146" t="str">
        <f ca="1">IFERROR(INDEX(Events!$A:$A,MATCH(C71,Events!$I:$I,0)),"")</f>
        <v/>
      </c>
      <c r="D73" s="147"/>
      <c r="E73" s="209" t="s">
        <v>121</v>
      </c>
      <c r="F73" s="173"/>
      <c r="G73" s="209" t="s">
        <v>121</v>
      </c>
      <c r="H73" s="173"/>
      <c r="I73" s="209" t="s">
        <v>121</v>
      </c>
      <c r="J73" s="173"/>
      <c r="K73" s="209" t="s">
        <v>121</v>
      </c>
      <c r="L73" s="173"/>
      <c r="M73" s="209" t="s">
        <v>121</v>
      </c>
      <c r="N73" s="173"/>
      <c r="O73" s="209" t="s">
        <v>121</v>
      </c>
      <c r="P73" s="173"/>
      <c r="R73" s="231"/>
    </row>
    <row r="74" spans="1:18" s="54" customFormat="1" ht="10.199999999999999" customHeight="1" x14ac:dyDescent="0.2">
      <c r="A74" s="143"/>
      <c r="C74" s="146" t="str">
        <f ca="1">IFERROR(INDEX(Events!$A:$A,MATCH(C71,Events!$J:$J,0)),"")</f>
        <v/>
      </c>
      <c r="D74" s="147"/>
      <c r="E74" s="146" t="s">
        <v>120</v>
      </c>
      <c r="F74" s="147"/>
      <c r="G74" s="211" t="s">
        <v>120</v>
      </c>
      <c r="H74" s="177"/>
      <c r="I74" s="211" t="s">
        <v>120</v>
      </c>
      <c r="J74" s="177"/>
      <c r="K74" s="211" t="s">
        <v>120</v>
      </c>
      <c r="L74" s="177"/>
      <c r="M74" s="211" t="s">
        <v>120</v>
      </c>
      <c r="N74" s="177"/>
      <c r="O74" s="211" t="s">
        <v>120</v>
      </c>
      <c r="P74" s="177"/>
      <c r="R74" s="231"/>
    </row>
    <row r="75" spans="1:18" ht="10.199999999999999" customHeight="1" x14ac:dyDescent="0.25">
      <c r="A75" s="143"/>
      <c r="C75" s="102">
        <f>IF(O71="","",IF(MONTH(O71+1)&lt;&gt;MONTH(O71),"",O71+1))</f>
        <v>46103</v>
      </c>
      <c r="D75" s="52" t="str">
        <f>IFERROR(INDEX(Events!$A:$A,MATCH(C75,Events!$G:$G,0)),"")</f>
        <v/>
      </c>
      <c r="E75" s="50">
        <f>IF(C75="","",IF(MONTH(C75+1)&lt;&gt;MONTH(C75),"",C75+1))</f>
        <v>46104</v>
      </c>
      <c r="F75" s="98" t="s">
        <v>161</v>
      </c>
      <c r="G75" s="50">
        <f>IF(E75="","",IF(MONTH(E75+1)&lt;&gt;MONTH(E75),"",E75+1))</f>
        <v>46105</v>
      </c>
      <c r="H75" s="98" t="s">
        <v>160</v>
      </c>
      <c r="I75" s="50">
        <f>IF(G75="","",IF(MONTH(G75+1)&lt;&gt;MONTH(G75),"",G75+1))</f>
        <v>46106</v>
      </c>
      <c r="J75" s="98" t="s">
        <v>159</v>
      </c>
      <c r="K75" s="50">
        <f>IF(I75="","",IF(MONTH(I75+1)&lt;&gt;MONTH(I75),"",I75+1))</f>
        <v>46107</v>
      </c>
      <c r="L75" s="98" t="s">
        <v>158</v>
      </c>
      <c r="M75" s="50">
        <f>IF(K75="","",IF(MONTH(K75+1)&lt;&gt;MONTH(K75),"",K75+1))</f>
        <v>46108</v>
      </c>
      <c r="N75" s="98" t="s">
        <v>157</v>
      </c>
      <c r="O75" s="50">
        <f>IF(M75="","",IF(MONTH(M75+1)&lt;&gt;MONTH(M75),"",M75+1))</f>
        <v>46109</v>
      </c>
      <c r="P75" s="52" t="str">
        <f>IFERROR(INDEX(Events!$A:$A,MATCH(O75,Events!$G:$G,0)),"")</f>
        <v/>
      </c>
      <c r="R75" s="231" t="s">
        <v>139</v>
      </c>
    </row>
    <row r="76" spans="1:18" s="54" customFormat="1" ht="10.199999999999999" customHeight="1" x14ac:dyDescent="0.2">
      <c r="A76" s="143"/>
      <c r="C76" s="146" t="str">
        <f ca="1">IFERROR(INDEX(Events!$A:$A,MATCH(C75,Events!$H:$H,0)),"")</f>
        <v/>
      </c>
      <c r="D76" s="147"/>
      <c r="E76" s="146" t="str">
        <f ca="1">IFERROR(INDEX(Events!$A:$A,MATCH(E75,Events!$H:$H,0)),"")</f>
        <v/>
      </c>
      <c r="F76" s="147"/>
      <c r="G76" s="146" t="str">
        <f ca="1">IFERROR(INDEX(Events!$A:$A,MATCH(G75,Events!$H:$H,0)),"")</f>
        <v/>
      </c>
      <c r="H76" s="147"/>
      <c r="I76" s="146" t="str">
        <f ca="1">IFERROR(INDEX(Events!$A:$A,MATCH(I75,Events!$H:$H,0)),"")</f>
        <v/>
      </c>
      <c r="J76" s="147"/>
      <c r="K76" s="146" t="str">
        <f ca="1">IFERROR(INDEX(Events!$A:$A,MATCH(K75,Events!$H:$H,0)),"")</f>
        <v/>
      </c>
      <c r="L76" s="147"/>
      <c r="M76" s="146" t="str">
        <f ca="1">IFERROR(INDEX(Events!$A:$A,MATCH(M75,Events!$H:$H,0)),"")</f>
        <v/>
      </c>
      <c r="N76" s="147"/>
      <c r="O76" s="146" t="str">
        <f ca="1">IFERROR(INDEX(Events!$A:$A,MATCH(O75,Events!$H:$H,0)),"")</f>
        <v/>
      </c>
      <c r="P76" s="147"/>
      <c r="R76" s="231"/>
    </row>
    <row r="77" spans="1:18" s="54" customFormat="1" ht="10.199999999999999" customHeight="1" x14ac:dyDescent="0.2">
      <c r="A77" s="143"/>
      <c r="C77" s="146" t="str">
        <f ca="1">IFERROR(INDEX(Events!$A:$A,MATCH(C75,Events!$I:$I,0)),"")</f>
        <v/>
      </c>
      <c r="D77" s="147"/>
      <c r="E77" s="209" t="s">
        <v>121</v>
      </c>
      <c r="F77" s="173"/>
      <c r="G77" s="209" t="s">
        <v>121</v>
      </c>
      <c r="H77" s="173"/>
      <c r="I77" s="209" t="s">
        <v>121</v>
      </c>
      <c r="J77" s="173"/>
      <c r="K77" s="209" t="s">
        <v>121</v>
      </c>
      <c r="L77" s="173"/>
      <c r="M77" s="209" t="s">
        <v>121</v>
      </c>
      <c r="N77" s="173"/>
      <c r="O77" s="209" t="s">
        <v>121</v>
      </c>
      <c r="P77" s="173"/>
      <c r="R77" s="231"/>
    </row>
    <row r="78" spans="1:18" s="54" customFormat="1" ht="10.199999999999999" customHeight="1" x14ac:dyDescent="0.2">
      <c r="A78" s="143"/>
      <c r="C78" s="146" t="str">
        <f ca="1">IFERROR(INDEX(Events!$A:$A,MATCH(C75,Events!$J:$J,0)),"")</f>
        <v/>
      </c>
      <c r="D78" s="147"/>
      <c r="E78" s="146" t="s">
        <v>120</v>
      </c>
      <c r="F78" s="147"/>
      <c r="G78" s="211" t="s">
        <v>120</v>
      </c>
      <c r="H78" s="177"/>
      <c r="I78" s="211" t="s">
        <v>120</v>
      </c>
      <c r="J78" s="177"/>
      <c r="K78" s="211" t="s">
        <v>120</v>
      </c>
      <c r="L78" s="177"/>
      <c r="M78" s="211" t="s">
        <v>120</v>
      </c>
      <c r="N78" s="177"/>
      <c r="O78" s="211" t="s">
        <v>120</v>
      </c>
      <c r="P78" s="177"/>
      <c r="R78" s="231"/>
    </row>
    <row r="79" spans="1:18" ht="10.199999999999999" customHeight="1" x14ac:dyDescent="0.25">
      <c r="A79" s="143"/>
      <c r="C79" s="102">
        <f>IF(O75="","",IF(MONTH(O75+1)&lt;&gt;MONTH(O75),"",O75+1))</f>
        <v>46110</v>
      </c>
      <c r="D79" s="52" t="str">
        <f>IFERROR(INDEX(Events!$A:$A,MATCH(C79,Events!$G:$G,0)),"")</f>
        <v/>
      </c>
      <c r="E79" s="50">
        <f>IF(C79="","",IF(MONTH(C79+1)&lt;&gt;MONTH(C79),"",C79+1))</f>
        <v>46111</v>
      </c>
      <c r="F79" s="98" t="s">
        <v>148</v>
      </c>
      <c r="G79" s="102">
        <f>IF(E79="","",IF(MONTH(E79+1)&lt;&gt;MONTH(E79),"",E79+1))</f>
        <v>46112</v>
      </c>
      <c r="H79" s="98" t="s">
        <v>149</v>
      </c>
      <c r="I79" s="102">
        <v>1</v>
      </c>
      <c r="J79" s="97" t="s">
        <v>141</v>
      </c>
      <c r="K79" s="102"/>
      <c r="L79" s="98"/>
      <c r="M79" s="102"/>
      <c r="N79" s="98"/>
      <c r="O79" s="50"/>
      <c r="P79" s="98"/>
      <c r="R79" s="231" t="s">
        <v>140</v>
      </c>
    </row>
    <row r="80" spans="1:18" s="54" customFormat="1" ht="10.199999999999999" customHeight="1" x14ac:dyDescent="0.2">
      <c r="A80" s="143"/>
      <c r="C80" s="146" t="str">
        <f ca="1">IFERROR(INDEX(Events!$A:$A,MATCH(C79,Events!$H:$H,0)),"")</f>
        <v/>
      </c>
      <c r="D80" s="147"/>
      <c r="E80" s="146" t="str">
        <f ca="1">IFERROR(INDEX(Events!$A:$A,MATCH(E79,Events!$H:$H,0)),"")</f>
        <v/>
      </c>
      <c r="F80" s="147"/>
      <c r="G80" s="146" t="str">
        <f ca="1">IFERROR(INDEX(Events!$A:$A,MATCH(G79,Events!$H:$H,0)),"")</f>
        <v/>
      </c>
      <c r="H80" s="147"/>
      <c r="I80" s="146" t="str">
        <f ca="1">IFERROR(INDEX(Events!$A:$A,MATCH(I79,Events!$H:$H,0)),"")</f>
        <v/>
      </c>
      <c r="J80" s="147"/>
      <c r="K80" s="146"/>
      <c r="L80" s="147"/>
      <c r="M80" s="146"/>
      <c r="N80" s="147"/>
      <c r="O80" s="146"/>
      <c r="P80" s="147"/>
      <c r="R80" s="231"/>
    </row>
    <row r="81" spans="1:18" s="54" customFormat="1" ht="10.199999999999999" customHeight="1" x14ac:dyDescent="0.2">
      <c r="A81" s="143"/>
      <c r="C81" s="146" t="str">
        <f ca="1">IFERROR(INDEX(Events!$A:$A,MATCH(C79,Events!$I:$I,0)),"")</f>
        <v/>
      </c>
      <c r="D81" s="147"/>
      <c r="E81" s="209" t="s">
        <v>121</v>
      </c>
      <c r="F81" s="173"/>
      <c r="G81" s="209" t="s">
        <v>121</v>
      </c>
      <c r="H81" s="173"/>
      <c r="I81" s="209" t="s">
        <v>121</v>
      </c>
      <c r="J81" s="173"/>
      <c r="K81" s="209"/>
      <c r="L81" s="173"/>
      <c r="M81" s="209"/>
      <c r="N81" s="173"/>
      <c r="O81" s="209"/>
      <c r="P81" s="173"/>
      <c r="R81" s="231"/>
    </row>
    <row r="82" spans="1:18" s="54" customFormat="1" ht="10.199999999999999" customHeight="1" x14ac:dyDescent="0.2">
      <c r="A82" s="143"/>
      <c r="C82" s="180" t="str">
        <f ca="1">IFERROR(INDEX(Events!$A:$A,MATCH(C79,Events!$J:$J,0)),"")</f>
        <v/>
      </c>
      <c r="D82" s="181"/>
      <c r="E82" s="211" t="s">
        <v>120</v>
      </c>
      <c r="F82" s="177"/>
      <c r="G82" s="211" t="s">
        <v>120</v>
      </c>
      <c r="H82" s="177"/>
      <c r="I82" s="211" t="s">
        <v>120</v>
      </c>
      <c r="J82" s="177"/>
      <c r="K82" s="211"/>
      <c r="L82" s="177"/>
      <c r="M82" s="211"/>
      <c r="N82" s="177"/>
      <c r="O82" s="211"/>
      <c r="P82" s="177"/>
      <c r="R82" s="231"/>
    </row>
    <row r="83" spans="1:18" ht="10.199999999999999" hidden="1" customHeight="1" x14ac:dyDescent="0.25">
      <c r="A83" s="143"/>
      <c r="C83" s="102" t="str">
        <f>IF(O79="","",IF(MONTH(O79+1)&lt;&gt;MONTH(O79),"",O79+1))</f>
        <v/>
      </c>
      <c r="D83" s="52" t="str">
        <f>IFERROR(INDEX(Events!$A:$A,MATCH(C83,Events!$G:$G,0)),"")</f>
        <v/>
      </c>
      <c r="E83" s="104" t="str">
        <f>IF(C83="","",IF(MONTH(C83+1)&lt;&gt;MONTH(C83),"",C83+1))</f>
        <v/>
      </c>
      <c r="F83" s="129" t="s">
        <v>149</v>
      </c>
      <c r="G83" s="91">
        <v>1</v>
      </c>
      <c r="H83" s="92" t="s">
        <v>141</v>
      </c>
      <c r="I83" s="5"/>
      <c r="J83" s="5"/>
      <c r="K83" s="5"/>
      <c r="L83" s="5"/>
      <c r="R83" s="230" t="s">
        <v>140</v>
      </c>
    </row>
    <row r="84" spans="1:18" s="54" customFormat="1" ht="10.199999999999999" hidden="1" customHeight="1" x14ac:dyDescent="0.2">
      <c r="A84" s="143"/>
      <c r="C84" s="146" t="str">
        <f ca="1">IFERROR(INDEX(Events!$A:$A,MATCH(C83,Events!$H:$H,0)),"")</f>
        <v/>
      </c>
      <c r="D84" s="147"/>
      <c r="E84" s="146" t="str">
        <f ca="1">IFERROR(INDEX(Events!$A:$A,MATCH(E83,Events!$H:$H,0)),"")</f>
        <v/>
      </c>
      <c r="F84" s="147"/>
      <c r="G84" s="151" t="s">
        <v>116</v>
      </c>
      <c r="H84" s="152" t="str">
        <f>IFERROR(INDEX(Events!#REF!,MATCH(G84,Events!E:E,0)),"")</f>
        <v/>
      </c>
      <c r="I84" s="153" t="s">
        <v>181</v>
      </c>
      <c r="J84" s="154"/>
      <c r="K84" s="3"/>
      <c r="L84" s="3"/>
      <c r="R84" s="230"/>
    </row>
    <row r="85" spans="1:18" s="54" customFormat="1" ht="10.199999999999999" hidden="1" customHeight="1" x14ac:dyDescent="0.2">
      <c r="A85" s="143"/>
      <c r="C85" s="146" t="str">
        <f ca="1">IFERROR(INDEX(Events!$A:$A,MATCH(C83,Events!$I:$I,0)),"")</f>
        <v/>
      </c>
      <c r="D85" s="147"/>
      <c r="E85" s="209" t="s">
        <v>121</v>
      </c>
      <c r="F85" s="173"/>
      <c r="G85" s="151"/>
      <c r="H85" s="152"/>
      <c r="I85" s="3"/>
      <c r="J85" s="3"/>
      <c r="K85" s="3"/>
      <c r="L85" s="3"/>
      <c r="P85" s="60"/>
      <c r="R85" s="230"/>
    </row>
    <row r="86" spans="1:18" s="54" customFormat="1" ht="10.199999999999999" hidden="1" customHeight="1" x14ac:dyDescent="0.2">
      <c r="A86" s="143"/>
      <c r="C86" s="211" t="s">
        <v>120</v>
      </c>
      <c r="D86" s="177"/>
      <c r="E86" s="211" t="s">
        <v>120</v>
      </c>
      <c r="F86" s="177"/>
      <c r="G86" s="214" t="s">
        <v>123</v>
      </c>
      <c r="H86" s="215"/>
      <c r="I86" s="3"/>
      <c r="J86" s="3"/>
      <c r="K86" s="3"/>
      <c r="L86" s="3"/>
      <c r="P86" s="60"/>
      <c r="R86" s="230"/>
    </row>
  </sheetData>
  <mergeCells count="381">
    <mergeCell ref="I5:P6"/>
    <mergeCell ref="A8:A28"/>
    <mergeCell ref="C8:D8"/>
    <mergeCell ref="E8:F8"/>
    <mergeCell ref="G8:H8"/>
    <mergeCell ref="I8:J8"/>
    <mergeCell ref="K8:L8"/>
    <mergeCell ref="M8:N8"/>
    <mergeCell ref="O8:P8"/>
    <mergeCell ref="G11:H11"/>
    <mergeCell ref="G22:H22"/>
    <mergeCell ref="I11:J11"/>
    <mergeCell ref="K11:L11"/>
    <mergeCell ref="M11:N11"/>
    <mergeCell ref="O11:P11"/>
    <mergeCell ref="C12:D12"/>
    <mergeCell ref="E12:F12"/>
    <mergeCell ref="G12:H12"/>
    <mergeCell ref="I12:J12"/>
    <mergeCell ref="K12:L12"/>
    <mergeCell ref="M12:N12"/>
    <mergeCell ref="C11:D11"/>
    <mergeCell ref="E11:F11"/>
    <mergeCell ref="E15:F15"/>
    <mergeCell ref="G15:H15"/>
    <mergeCell ref="I15:J15"/>
    <mergeCell ref="K15:L15"/>
    <mergeCell ref="M15:N15"/>
    <mergeCell ref="O15:P15"/>
    <mergeCell ref="O12:P12"/>
    <mergeCell ref="R13:R16"/>
    <mergeCell ref="C14:D14"/>
    <mergeCell ref="E14:F14"/>
    <mergeCell ref="G14:H14"/>
    <mergeCell ref="I14:J14"/>
    <mergeCell ref="K14:L14"/>
    <mergeCell ref="M14:N14"/>
    <mergeCell ref="O14:P14"/>
    <mergeCell ref="C15:D15"/>
    <mergeCell ref="R9:R12"/>
    <mergeCell ref="C10:D10"/>
    <mergeCell ref="E10:F10"/>
    <mergeCell ref="G10:H10"/>
    <mergeCell ref="I10:J10"/>
    <mergeCell ref="K10:L10"/>
    <mergeCell ref="M10:N10"/>
    <mergeCell ref="O10:P10"/>
    <mergeCell ref="E19:F19"/>
    <mergeCell ref="G19:H19"/>
    <mergeCell ref="I19:J19"/>
    <mergeCell ref="K19:L19"/>
    <mergeCell ref="M19:N19"/>
    <mergeCell ref="O19:P19"/>
    <mergeCell ref="O16:P16"/>
    <mergeCell ref="R17:R20"/>
    <mergeCell ref="C18:D18"/>
    <mergeCell ref="E18:F18"/>
    <mergeCell ref="G18:H18"/>
    <mergeCell ref="I18:J18"/>
    <mergeCell ref="K18:L18"/>
    <mergeCell ref="M18:N18"/>
    <mergeCell ref="O18:P18"/>
    <mergeCell ref="C19:D19"/>
    <mergeCell ref="C16:D16"/>
    <mergeCell ref="E16:F16"/>
    <mergeCell ref="G16:H16"/>
    <mergeCell ref="I16:J16"/>
    <mergeCell ref="K16:L16"/>
    <mergeCell ref="M16:N16"/>
    <mergeCell ref="E23:F23"/>
    <mergeCell ref="G23:H23"/>
    <mergeCell ref="I23:J23"/>
    <mergeCell ref="K23:L23"/>
    <mergeCell ref="M23:N23"/>
    <mergeCell ref="O23:P23"/>
    <mergeCell ref="O20:P20"/>
    <mergeCell ref="R21:R24"/>
    <mergeCell ref="C22:D22"/>
    <mergeCell ref="E22:F22"/>
    <mergeCell ref="I22:J22"/>
    <mergeCell ref="K22:L22"/>
    <mergeCell ref="M22:N22"/>
    <mergeCell ref="O22:P22"/>
    <mergeCell ref="C23:D23"/>
    <mergeCell ref="C20:D20"/>
    <mergeCell ref="E20:F20"/>
    <mergeCell ref="G20:H20"/>
    <mergeCell ref="I20:J20"/>
    <mergeCell ref="K20:L20"/>
    <mergeCell ref="M20:N20"/>
    <mergeCell ref="E27:F27"/>
    <mergeCell ref="G27:H27"/>
    <mergeCell ref="I27:J27"/>
    <mergeCell ref="K27:L27"/>
    <mergeCell ref="M27:N27"/>
    <mergeCell ref="O27:P27"/>
    <mergeCell ref="O24:P24"/>
    <mergeCell ref="R25:R28"/>
    <mergeCell ref="C26:D26"/>
    <mergeCell ref="E26:F26"/>
    <mergeCell ref="G26:H26"/>
    <mergeCell ref="I26:J26"/>
    <mergeCell ref="K26:L26"/>
    <mergeCell ref="M26:N26"/>
    <mergeCell ref="O26:P26"/>
    <mergeCell ref="C27:D27"/>
    <mergeCell ref="C24:D24"/>
    <mergeCell ref="E24:F24"/>
    <mergeCell ref="G24:H24"/>
    <mergeCell ref="I24:J24"/>
    <mergeCell ref="K24:L24"/>
    <mergeCell ref="M24:N24"/>
    <mergeCell ref="O28:P28"/>
    <mergeCell ref="C30:D30"/>
    <mergeCell ref="E30:F30"/>
    <mergeCell ref="C31:D31"/>
    <mergeCell ref="E31:F31"/>
    <mergeCell ref="I31:P32"/>
    <mergeCell ref="C32:D32"/>
    <mergeCell ref="E32:F32"/>
    <mergeCell ref="C28:D28"/>
    <mergeCell ref="E28:F28"/>
    <mergeCell ref="G28:H28"/>
    <mergeCell ref="I28:J28"/>
    <mergeCell ref="K28:L28"/>
    <mergeCell ref="M28:N28"/>
    <mergeCell ref="I33:P33"/>
    <mergeCell ref="A35:A55"/>
    <mergeCell ref="C35:D35"/>
    <mergeCell ref="E35:F35"/>
    <mergeCell ref="G35:H35"/>
    <mergeCell ref="I35:J35"/>
    <mergeCell ref="K35:L35"/>
    <mergeCell ref="M35:N35"/>
    <mergeCell ref="O35:P35"/>
    <mergeCell ref="G38:H38"/>
    <mergeCell ref="I38:J38"/>
    <mergeCell ref="K38:L38"/>
    <mergeCell ref="M38:N38"/>
    <mergeCell ref="O38:P38"/>
    <mergeCell ref="C39:D39"/>
    <mergeCell ref="E39:F39"/>
    <mergeCell ref="G39:H39"/>
    <mergeCell ref="I39:J39"/>
    <mergeCell ref="K39:L39"/>
    <mergeCell ref="M39:N39"/>
    <mergeCell ref="C38:D38"/>
    <mergeCell ref="E38:F38"/>
    <mergeCell ref="E42:F42"/>
    <mergeCell ref="G42:H42"/>
    <mergeCell ref="I42:J42"/>
    <mergeCell ref="K42:L42"/>
    <mergeCell ref="M42:N42"/>
    <mergeCell ref="O42:P42"/>
    <mergeCell ref="O39:P39"/>
    <mergeCell ref="R40:R43"/>
    <mergeCell ref="C41:D41"/>
    <mergeCell ref="E41:F41"/>
    <mergeCell ref="G41:H41"/>
    <mergeCell ref="I41:J41"/>
    <mergeCell ref="K41:L41"/>
    <mergeCell ref="M41:N41"/>
    <mergeCell ref="O41:P41"/>
    <mergeCell ref="C42:D42"/>
    <mergeCell ref="R36:R39"/>
    <mergeCell ref="C37:D37"/>
    <mergeCell ref="E37:F37"/>
    <mergeCell ref="G37:H37"/>
    <mergeCell ref="I37:J37"/>
    <mergeCell ref="K37:L37"/>
    <mergeCell ref="M37:N37"/>
    <mergeCell ref="O37:P37"/>
    <mergeCell ref="E46:F46"/>
    <mergeCell ref="G46:H46"/>
    <mergeCell ref="I46:J46"/>
    <mergeCell ref="K46:L46"/>
    <mergeCell ref="M46:N46"/>
    <mergeCell ref="O46:P46"/>
    <mergeCell ref="O43:P43"/>
    <mergeCell ref="R44:R47"/>
    <mergeCell ref="C45:D45"/>
    <mergeCell ref="E45:F45"/>
    <mergeCell ref="G45:H45"/>
    <mergeCell ref="I45:J45"/>
    <mergeCell ref="K45:L45"/>
    <mergeCell ref="M45:N45"/>
    <mergeCell ref="O45:P45"/>
    <mergeCell ref="C46:D46"/>
    <mergeCell ref="C43:D43"/>
    <mergeCell ref="E43:F43"/>
    <mergeCell ref="G43:H43"/>
    <mergeCell ref="I43:J43"/>
    <mergeCell ref="K43:L43"/>
    <mergeCell ref="M43:N43"/>
    <mergeCell ref="E50:F50"/>
    <mergeCell ref="G50:H50"/>
    <mergeCell ref="I50:J50"/>
    <mergeCell ref="K50:L50"/>
    <mergeCell ref="M50:N50"/>
    <mergeCell ref="O50:P50"/>
    <mergeCell ref="O47:P47"/>
    <mergeCell ref="R48:R51"/>
    <mergeCell ref="C49:D49"/>
    <mergeCell ref="E49:F49"/>
    <mergeCell ref="G49:H49"/>
    <mergeCell ref="I49:J49"/>
    <mergeCell ref="K49:L49"/>
    <mergeCell ref="M49:N49"/>
    <mergeCell ref="O49:P49"/>
    <mergeCell ref="C50:D50"/>
    <mergeCell ref="C47:D47"/>
    <mergeCell ref="E47:F47"/>
    <mergeCell ref="G47:H47"/>
    <mergeCell ref="I47:J47"/>
    <mergeCell ref="K47:L47"/>
    <mergeCell ref="M47:N47"/>
    <mergeCell ref="E54:F54"/>
    <mergeCell ref="G54:H54"/>
    <mergeCell ref="I54:J54"/>
    <mergeCell ref="K54:L54"/>
    <mergeCell ref="M54:N54"/>
    <mergeCell ref="O54:P54"/>
    <mergeCell ref="O51:P51"/>
    <mergeCell ref="R52:R55"/>
    <mergeCell ref="C53:D53"/>
    <mergeCell ref="E53:F53"/>
    <mergeCell ref="G53:H53"/>
    <mergeCell ref="I53:J53"/>
    <mergeCell ref="K53:L53"/>
    <mergeCell ref="M53:N53"/>
    <mergeCell ref="O53:P53"/>
    <mergeCell ref="C54:D54"/>
    <mergeCell ref="C51:D51"/>
    <mergeCell ref="E51:F51"/>
    <mergeCell ref="G51:H51"/>
    <mergeCell ref="I51:J51"/>
    <mergeCell ref="K51:L51"/>
    <mergeCell ref="M51:N51"/>
    <mergeCell ref="O55:P55"/>
    <mergeCell ref="C58:D58"/>
    <mergeCell ref="E58:F58"/>
    <mergeCell ref="I58:P59"/>
    <mergeCell ref="C59:D59"/>
    <mergeCell ref="E59:F59"/>
    <mergeCell ref="C55:D55"/>
    <mergeCell ref="E55:F55"/>
    <mergeCell ref="G55:H55"/>
    <mergeCell ref="I55:J55"/>
    <mergeCell ref="K55:L55"/>
    <mergeCell ref="M55:N55"/>
    <mergeCell ref="I60:P60"/>
    <mergeCell ref="A62:A82"/>
    <mergeCell ref="C62:D62"/>
    <mergeCell ref="E62:F62"/>
    <mergeCell ref="G62:H62"/>
    <mergeCell ref="I62:J62"/>
    <mergeCell ref="K62:L62"/>
    <mergeCell ref="M62:N62"/>
    <mergeCell ref="O62:P62"/>
    <mergeCell ref="G65:H65"/>
    <mergeCell ref="I65:J65"/>
    <mergeCell ref="K65:L65"/>
    <mergeCell ref="M65:N65"/>
    <mergeCell ref="O65:P65"/>
    <mergeCell ref="C66:D66"/>
    <mergeCell ref="E66:F66"/>
    <mergeCell ref="G66:H66"/>
    <mergeCell ref="I66:J66"/>
    <mergeCell ref="K66:L66"/>
    <mergeCell ref="M66:N66"/>
    <mergeCell ref="C65:D65"/>
    <mergeCell ref="E65:F65"/>
    <mergeCell ref="E69:F69"/>
    <mergeCell ref="G69:H69"/>
    <mergeCell ref="I69:J69"/>
    <mergeCell ref="K69:L69"/>
    <mergeCell ref="M69:N69"/>
    <mergeCell ref="O69:P69"/>
    <mergeCell ref="O66:P66"/>
    <mergeCell ref="R67:R70"/>
    <mergeCell ref="C68:D68"/>
    <mergeCell ref="E68:F68"/>
    <mergeCell ref="G68:H68"/>
    <mergeCell ref="I68:J68"/>
    <mergeCell ref="K68:L68"/>
    <mergeCell ref="M68:N68"/>
    <mergeCell ref="O68:P68"/>
    <mergeCell ref="C69:D69"/>
    <mergeCell ref="R63:R66"/>
    <mergeCell ref="C64:D64"/>
    <mergeCell ref="E64:F64"/>
    <mergeCell ref="G64:H64"/>
    <mergeCell ref="I64:J64"/>
    <mergeCell ref="K64:L64"/>
    <mergeCell ref="M64:N64"/>
    <mergeCell ref="O64:P64"/>
    <mergeCell ref="E73:F73"/>
    <mergeCell ref="G73:H73"/>
    <mergeCell ref="I73:J73"/>
    <mergeCell ref="K73:L73"/>
    <mergeCell ref="M73:N73"/>
    <mergeCell ref="O73:P73"/>
    <mergeCell ref="O70:P70"/>
    <mergeCell ref="R71:R74"/>
    <mergeCell ref="C72:D72"/>
    <mergeCell ref="E72:F72"/>
    <mergeCell ref="G72:H72"/>
    <mergeCell ref="I72:J72"/>
    <mergeCell ref="K72:L72"/>
    <mergeCell ref="M72:N72"/>
    <mergeCell ref="O72:P72"/>
    <mergeCell ref="C73:D73"/>
    <mergeCell ref="C70:D70"/>
    <mergeCell ref="E70:F70"/>
    <mergeCell ref="G70:H70"/>
    <mergeCell ref="I70:J70"/>
    <mergeCell ref="K70:L70"/>
    <mergeCell ref="M70:N70"/>
    <mergeCell ref="E77:F77"/>
    <mergeCell ref="G77:H77"/>
    <mergeCell ref="I77:J77"/>
    <mergeCell ref="K77:L77"/>
    <mergeCell ref="M77:N77"/>
    <mergeCell ref="O77:P77"/>
    <mergeCell ref="O74:P74"/>
    <mergeCell ref="R75:R78"/>
    <mergeCell ref="C76:D76"/>
    <mergeCell ref="E76:F76"/>
    <mergeCell ref="G76:H76"/>
    <mergeCell ref="I76:J76"/>
    <mergeCell ref="K76:L76"/>
    <mergeCell ref="M76:N76"/>
    <mergeCell ref="O76:P76"/>
    <mergeCell ref="C77:D77"/>
    <mergeCell ref="C74:D74"/>
    <mergeCell ref="E74:F74"/>
    <mergeCell ref="G74:H74"/>
    <mergeCell ref="I74:J74"/>
    <mergeCell ref="K74:L74"/>
    <mergeCell ref="M74:N74"/>
    <mergeCell ref="E81:F81"/>
    <mergeCell ref="G81:H81"/>
    <mergeCell ref="I81:J81"/>
    <mergeCell ref="K81:L81"/>
    <mergeCell ref="M81:N81"/>
    <mergeCell ref="O81:P81"/>
    <mergeCell ref="O78:P78"/>
    <mergeCell ref="R79:R82"/>
    <mergeCell ref="C80:D80"/>
    <mergeCell ref="E80:F80"/>
    <mergeCell ref="G80:H80"/>
    <mergeCell ref="I80:J80"/>
    <mergeCell ref="K80:L80"/>
    <mergeCell ref="M80:N80"/>
    <mergeCell ref="O80:P80"/>
    <mergeCell ref="C81:D81"/>
    <mergeCell ref="C78:D78"/>
    <mergeCell ref="E78:F78"/>
    <mergeCell ref="G78:H78"/>
    <mergeCell ref="I78:J78"/>
    <mergeCell ref="K78:L78"/>
    <mergeCell ref="M78:N78"/>
    <mergeCell ref="C86:D86"/>
    <mergeCell ref="E86:F86"/>
    <mergeCell ref="G86:H86"/>
    <mergeCell ref="O82:P82"/>
    <mergeCell ref="A83:A86"/>
    <mergeCell ref="R83:R86"/>
    <mergeCell ref="C84:D84"/>
    <mergeCell ref="E84:F84"/>
    <mergeCell ref="G84:H84"/>
    <mergeCell ref="I84:J84"/>
    <mergeCell ref="C85:D85"/>
    <mergeCell ref="E85:F85"/>
    <mergeCell ref="G85:H85"/>
    <mergeCell ref="C82:D82"/>
    <mergeCell ref="E82:F82"/>
    <mergeCell ref="G82:H82"/>
    <mergeCell ref="I82:J82"/>
    <mergeCell ref="K82:L82"/>
    <mergeCell ref="M82:N82"/>
  </mergeCells>
  <conditionalFormatting sqref="C9 E9 G9 I9 K9 M9 O9 C13 E13 G13 I13 K13 M13 O13 C17 E17 G17 I17 K17 M17 O17 C21 E21 G21 I21 K21 M21 O21 C25 E25 G25 I25 K25 M25 O25 C29 E29">
    <cfRule type="expression" dxfId="213" priority="119">
      <formula>C9=""</formula>
    </cfRule>
  </conditionalFormatting>
  <conditionalFormatting sqref="C36 E36 G36 I36 K36 M36 O36 C40 E40 G40 I40 K40 M40 O40 C44 E44 G44 I44 K44 M44 O44 C48 E48 G48 I48 K48 M48 O48 C52 E52 G52 I52 K52 M52 O52">
    <cfRule type="expression" dxfId="212" priority="114">
      <formula>C36=""</formula>
    </cfRule>
  </conditionalFormatting>
  <conditionalFormatting sqref="C56 E56">
    <cfRule type="expression" dxfId="211" priority="96">
      <formula>C56=""</formula>
    </cfRule>
  </conditionalFormatting>
  <conditionalFormatting sqref="C63 G63 I63 K63 M63 O63 C67 O67 C71 E71 G71 I71 K71 M71 O71 C75 E75 G75 I75 K75 M75 O75 C79 E79 G79 K79 M79 O79 C83 E83">
    <cfRule type="expression" dxfId="210" priority="110">
      <formula>C63=""</formula>
    </cfRule>
  </conditionalFormatting>
  <conditionalFormatting sqref="C38:D38">
    <cfRule type="expression" dxfId="209" priority="111">
      <formula>C36=""</formula>
    </cfRule>
  </conditionalFormatting>
  <conditionalFormatting sqref="C39:D39">
    <cfRule type="expression" dxfId="208" priority="4">
      <formula>C36=""</formula>
    </cfRule>
  </conditionalFormatting>
  <conditionalFormatting sqref="C64:D64 C76:P76">
    <cfRule type="expression" dxfId="207" priority="108">
      <formula>C63=""</formula>
    </cfRule>
  </conditionalFormatting>
  <conditionalFormatting sqref="C65:D65">
    <cfRule type="expression" dxfId="206" priority="107">
      <formula>C63=""</formula>
    </cfRule>
  </conditionalFormatting>
  <conditionalFormatting sqref="C66:D66">
    <cfRule type="expression" dxfId="205" priority="3">
      <formula>C63=""</formula>
    </cfRule>
  </conditionalFormatting>
  <conditionalFormatting sqref="C57:F57">
    <cfRule type="expression" dxfId="204" priority="94">
      <formula>C56=""</formula>
    </cfRule>
  </conditionalFormatting>
  <conditionalFormatting sqref="C58:F58">
    <cfRule type="expression" dxfId="203" priority="93">
      <formula>C56=""</formula>
    </cfRule>
  </conditionalFormatting>
  <conditionalFormatting sqref="C59:F59">
    <cfRule type="expression" dxfId="202" priority="92">
      <formula>C56=""</formula>
    </cfRule>
  </conditionalFormatting>
  <conditionalFormatting sqref="C68:F68">
    <cfRule type="expression" dxfId="201" priority="13">
      <formula>C67=""</formula>
    </cfRule>
  </conditionalFormatting>
  <conditionalFormatting sqref="C72:F72 I72:P72">
    <cfRule type="expression" dxfId="200" priority="69">
      <formula>C71=""</formula>
    </cfRule>
  </conditionalFormatting>
  <conditionalFormatting sqref="C84:H84">
    <cfRule type="expression" dxfId="199" priority="74">
      <formula>C83=""</formula>
    </cfRule>
  </conditionalFormatting>
  <conditionalFormatting sqref="C85:H85">
    <cfRule type="expression" dxfId="198" priority="73">
      <formula>C83=""</formula>
    </cfRule>
  </conditionalFormatting>
  <conditionalFormatting sqref="C86:H86">
    <cfRule type="expression" dxfId="197" priority="68">
      <formula>C83=""</formula>
    </cfRule>
  </conditionalFormatting>
  <conditionalFormatting sqref="C10:P10 C14:P14 C18:P18 C22:F22 I22:P22 C26:P26 C30:F30">
    <cfRule type="expression" dxfId="196" priority="117">
      <formula>C9=""</formula>
    </cfRule>
  </conditionalFormatting>
  <conditionalFormatting sqref="C11:P11 C15:P15 C19:P19 C23:P23 C27:P27 C31:F31">
    <cfRule type="expression" dxfId="195" priority="116">
      <formula>C9=""</formula>
    </cfRule>
  </conditionalFormatting>
  <conditionalFormatting sqref="C12:P12 C16:P16 C20:P20 C24:P24 C28:P28 C32:F32">
    <cfRule type="expression" dxfId="194" priority="115">
      <formula>C9=""</formula>
    </cfRule>
  </conditionalFormatting>
  <conditionalFormatting sqref="C37:P37">
    <cfRule type="expression" dxfId="193" priority="43">
      <formula>C36=""</formula>
    </cfRule>
  </conditionalFormatting>
  <conditionalFormatting sqref="C41:P41">
    <cfRule type="expression" dxfId="192" priority="38">
      <formula>C40=""</formula>
    </cfRule>
  </conditionalFormatting>
  <conditionalFormatting sqref="C42:P42">
    <cfRule type="expression" dxfId="191" priority="40">
      <formula>C40=""</formula>
    </cfRule>
  </conditionalFormatting>
  <conditionalFormatting sqref="C43:P43">
    <cfRule type="expression" dxfId="190" priority="39">
      <formula>C40=""</formula>
    </cfRule>
  </conditionalFormatting>
  <conditionalFormatting sqref="C45:P45">
    <cfRule type="expression" dxfId="189" priority="70">
      <formula>C44=""</formula>
    </cfRule>
  </conditionalFormatting>
  <conditionalFormatting sqref="C46:P46">
    <cfRule type="expression" dxfId="188" priority="55">
      <formula>C44=""</formula>
    </cfRule>
  </conditionalFormatting>
  <conditionalFormatting sqref="C47:P47">
    <cfRule type="expression" dxfId="187" priority="105">
      <formula>C44=""</formula>
    </cfRule>
  </conditionalFormatting>
  <conditionalFormatting sqref="C49:P49 C53:P53">
    <cfRule type="expression" dxfId="186" priority="112">
      <formula>C48=""</formula>
    </cfRule>
  </conditionalFormatting>
  <conditionalFormatting sqref="C50:P50">
    <cfRule type="expression" dxfId="185" priority="54">
      <formula>C48=""</formula>
    </cfRule>
  </conditionalFormatting>
  <conditionalFormatting sqref="C51:P51">
    <cfRule type="expression" dxfId="184" priority="104">
      <formula>C48=""</formula>
    </cfRule>
  </conditionalFormatting>
  <conditionalFormatting sqref="C54:P54">
    <cfRule type="expression" dxfId="183" priority="77">
      <formula>C52=""</formula>
    </cfRule>
  </conditionalFormatting>
  <conditionalFormatting sqref="C55:P55">
    <cfRule type="expression" dxfId="182" priority="103">
      <formula>C52=""</formula>
    </cfRule>
  </conditionalFormatting>
  <conditionalFormatting sqref="C69:P69">
    <cfRule type="expression" dxfId="181" priority="30">
      <formula>C67=""</formula>
    </cfRule>
  </conditionalFormatting>
  <conditionalFormatting sqref="C70:P70">
    <cfRule type="expression" dxfId="180" priority="32">
      <formula>C67=""</formula>
    </cfRule>
  </conditionalFormatting>
  <conditionalFormatting sqref="C73:P73">
    <cfRule type="expression" dxfId="179" priority="51">
      <formula>C71=""</formula>
    </cfRule>
  </conditionalFormatting>
  <conditionalFormatting sqref="C74:P74">
    <cfRule type="expression" dxfId="178" priority="102">
      <formula>C71=""</formula>
    </cfRule>
  </conditionalFormatting>
  <conditionalFormatting sqref="C77:P77">
    <cfRule type="expression" dxfId="177" priority="52">
      <formula>C75=""</formula>
    </cfRule>
  </conditionalFormatting>
  <conditionalFormatting sqref="C78:P78">
    <cfRule type="expression" dxfId="176" priority="100">
      <formula>C75=""</formula>
    </cfRule>
  </conditionalFormatting>
  <conditionalFormatting sqref="C80:P80">
    <cfRule type="expression" dxfId="175" priority="58">
      <formula>C79=""</formula>
    </cfRule>
  </conditionalFormatting>
  <conditionalFormatting sqref="C81:P81">
    <cfRule type="expression" dxfId="174" priority="57">
      <formula>C79=""</formula>
    </cfRule>
  </conditionalFormatting>
  <conditionalFormatting sqref="C82:P82">
    <cfRule type="expression" dxfId="173" priority="56">
      <formula>C79=""</formula>
    </cfRule>
  </conditionalFormatting>
  <conditionalFormatting sqref="D9 F9 H9 J9 L9 N9 P9 D13 F13 H13 J13 L13 N13 P13 D17 F17 H17 J17 L17 N17 P17 D21 F21 H21 J21 L21 N21 P21 D25 F25 H25 J25 L25 N25 P25 D29 F29">
    <cfRule type="expression" dxfId="172" priority="118">
      <formula>C9=""</formula>
    </cfRule>
  </conditionalFormatting>
  <conditionalFormatting sqref="D36 P36 D40 P40 D44 F44 H44 J44 L44 N44 P44 D48 F48 H48 J48 L48 N48 P48 D52 F52 H52 J52 P52">
    <cfRule type="expression" dxfId="171" priority="113">
      <formula>C36=""</formula>
    </cfRule>
  </conditionalFormatting>
  <conditionalFormatting sqref="D56 F56">
    <cfRule type="expression" dxfId="170" priority="95">
      <formula>C56=""</formula>
    </cfRule>
  </conditionalFormatting>
  <conditionalFormatting sqref="D63 P63 D67 P67 D71 F71 H71 J71 L71 N71 P71 D75 F75 H75 J75 L75 N75 P75 D79 F79 H79 L79 N79 P79 D83 F83">
    <cfRule type="expression" dxfId="169" priority="109">
      <formula>C63=""</formula>
    </cfRule>
  </conditionalFormatting>
  <conditionalFormatting sqref="E63">
    <cfRule type="expression" dxfId="168" priority="37">
      <formula>E63=""</formula>
    </cfRule>
  </conditionalFormatting>
  <conditionalFormatting sqref="E67">
    <cfRule type="expression" dxfId="167" priority="20">
      <formula>E67=""</formula>
    </cfRule>
  </conditionalFormatting>
  <conditionalFormatting sqref="E37:F39">
    <cfRule type="expression" dxfId="166" priority="23">
      <formula>E36=""</formula>
    </cfRule>
  </conditionalFormatting>
  <conditionalFormatting sqref="E64:F66">
    <cfRule type="expression" dxfId="165" priority="21">
      <formula>E63=""</formula>
    </cfRule>
  </conditionalFormatting>
  <conditionalFormatting sqref="F36 F40">
    <cfRule type="expression" dxfId="164" priority="91">
      <formula>E36=""</formula>
    </cfRule>
  </conditionalFormatting>
  <conditionalFormatting sqref="F63">
    <cfRule type="expression" dxfId="163" priority="34">
      <formula>E63=""</formula>
    </cfRule>
  </conditionalFormatting>
  <conditionalFormatting sqref="F67">
    <cfRule type="expression" dxfId="162" priority="19">
      <formula>E67=""</formula>
    </cfRule>
  </conditionalFormatting>
  <conditionalFormatting sqref="G67 I67 K67 M67">
    <cfRule type="expression" dxfId="161" priority="86">
      <formula>G67=""</formula>
    </cfRule>
  </conditionalFormatting>
  <conditionalFormatting sqref="G83">
    <cfRule type="expression" dxfId="160" priority="97">
      <formula>G83=""</formula>
    </cfRule>
  </conditionalFormatting>
  <conditionalFormatting sqref="G68:H68">
    <cfRule type="expression" dxfId="159" priority="10">
      <formula>G64=""</formula>
    </cfRule>
  </conditionalFormatting>
  <conditionalFormatting sqref="G72:H72">
    <cfRule type="expression" dxfId="158" priority="12">
      <formula>G68=""</formula>
    </cfRule>
  </conditionalFormatting>
  <conditionalFormatting sqref="G38:P38">
    <cfRule type="expression" dxfId="157" priority="42">
      <formula>G36=""</formula>
    </cfRule>
  </conditionalFormatting>
  <conditionalFormatting sqref="G39:P39">
    <cfRule type="expression" dxfId="156" priority="41">
      <formula>G36=""</formula>
    </cfRule>
  </conditionalFormatting>
  <conditionalFormatting sqref="G64:P64">
    <cfRule type="expression" dxfId="155" priority="11">
      <formula>G63=""</formula>
    </cfRule>
  </conditionalFormatting>
  <conditionalFormatting sqref="G65:P65">
    <cfRule type="expression" dxfId="154" priority="27">
      <formula>G63=""</formula>
    </cfRule>
  </conditionalFormatting>
  <conditionalFormatting sqref="G66:P66">
    <cfRule type="expression" dxfId="153" priority="29">
      <formula>G63=""</formula>
    </cfRule>
  </conditionalFormatting>
  <conditionalFormatting sqref="H36">
    <cfRule type="expression" dxfId="152" priority="47">
      <formula>G36=""</formula>
    </cfRule>
  </conditionalFormatting>
  <conditionalFormatting sqref="H40">
    <cfRule type="expression" dxfId="151" priority="90">
      <formula>G40=""</formula>
    </cfRule>
  </conditionalFormatting>
  <conditionalFormatting sqref="H63">
    <cfRule type="expression" dxfId="150" priority="18">
      <formula>G63=""</formula>
    </cfRule>
  </conditionalFormatting>
  <conditionalFormatting sqref="H67">
    <cfRule type="expression" dxfId="149" priority="85">
      <formula>G67=""</formula>
    </cfRule>
  </conditionalFormatting>
  <conditionalFormatting sqref="H83">
    <cfRule type="expression" dxfId="148" priority="81">
      <formula>G83=""</formula>
    </cfRule>
  </conditionalFormatting>
  <conditionalFormatting sqref="I79">
    <cfRule type="expression" dxfId="147" priority="2">
      <formula>I79=""</formula>
    </cfRule>
  </conditionalFormatting>
  <conditionalFormatting sqref="I68:P68">
    <cfRule type="expression" dxfId="146" priority="65">
      <formula>I67=""</formula>
    </cfRule>
  </conditionalFormatting>
  <conditionalFormatting sqref="J36">
    <cfRule type="expression" dxfId="145" priority="46">
      <formula>I36=""</formula>
    </cfRule>
  </conditionalFormatting>
  <conditionalFormatting sqref="J40">
    <cfRule type="expression" dxfId="144" priority="89">
      <formula>I40=""</formula>
    </cfRule>
  </conditionalFormatting>
  <conditionalFormatting sqref="J63">
    <cfRule type="expression" dxfId="143" priority="17">
      <formula>I63=""</formula>
    </cfRule>
  </conditionalFormatting>
  <conditionalFormatting sqref="J67">
    <cfRule type="expression" dxfId="142" priority="84">
      <formula>I67=""</formula>
    </cfRule>
  </conditionalFormatting>
  <conditionalFormatting sqref="J79">
    <cfRule type="expression" dxfId="141" priority="1">
      <formula>I79=""</formula>
    </cfRule>
  </conditionalFormatting>
  <conditionalFormatting sqref="L36">
    <cfRule type="expression" dxfId="140" priority="45">
      <formula>K36=""</formula>
    </cfRule>
  </conditionalFormatting>
  <conditionalFormatting sqref="L40">
    <cfRule type="expression" dxfId="139" priority="88">
      <formula>K40=""</formula>
    </cfRule>
  </conditionalFormatting>
  <conditionalFormatting sqref="L52">
    <cfRule type="expression" dxfId="138" priority="72">
      <formula>K52=""</formula>
    </cfRule>
  </conditionalFormatting>
  <conditionalFormatting sqref="L63">
    <cfRule type="expression" dxfId="137" priority="16">
      <formula>K63=""</formula>
    </cfRule>
  </conditionalFormatting>
  <conditionalFormatting sqref="L67">
    <cfRule type="expression" dxfId="136" priority="83">
      <formula>K67=""</formula>
    </cfRule>
  </conditionalFormatting>
  <conditionalFormatting sqref="N36">
    <cfRule type="expression" dxfId="135" priority="44">
      <formula>M36=""</formula>
    </cfRule>
  </conditionalFormatting>
  <conditionalFormatting sqref="N40">
    <cfRule type="expression" dxfId="134" priority="87">
      <formula>M40=""</formula>
    </cfRule>
  </conditionalFormatting>
  <conditionalFormatting sqref="N52">
    <cfRule type="expression" dxfId="133" priority="71">
      <formula>M52=""</formula>
    </cfRule>
  </conditionalFormatting>
  <conditionalFormatting sqref="N63">
    <cfRule type="expression" dxfId="132" priority="15">
      <formula>M63=""</formula>
    </cfRule>
  </conditionalFormatting>
  <conditionalFormatting sqref="N67">
    <cfRule type="expression" dxfId="131" priority="82">
      <formula>M67=""</formula>
    </cfRule>
  </conditionalFormatting>
  <hyperlinks>
    <hyperlink ref="P3" r:id="rId1" display="https://www.vertex42.com/calendars/quarterly-calendar.html" xr:uid="{61A4E078-E2DE-4776-8110-10799EDE2B82}"/>
  </hyperlinks>
  <printOptions horizontalCentered="1"/>
  <pageMargins left="0.35" right="0.35" top="0.25" bottom="0.4" header="0.25" footer="0.25"/>
  <pageSetup scale="79" orientation="portrait" r:id="rId2"/>
  <ignoredErrors>
    <ignoredError sqref="I9 G9 E9"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83895-6EC9-4C98-835F-D6F47746EE25}">
  <sheetPr>
    <pageSetUpPr fitToPage="1"/>
  </sheetPr>
  <dimension ref="A1:R86"/>
  <sheetViews>
    <sheetView showGridLines="0" topLeftCell="A4" zoomScale="80" zoomScaleNormal="80" workbookViewId="0">
      <selection activeCell="G22" sqref="G22:H22"/>
    </sheetView>
  </sheetViews>
  <sheetFormatPr defaultRowHeight="8.4" customHeight="1" outlineLevelRow="1" x14ac:dyDescent="0.25"/>
  <cols>
    <col min="2" max="2" width="2.77734375" customWidth="1"/>
    <col min="3" max="3" width="4.33203125" customWidth="1"/>
    <col min="4" max="4" width="8.33203125" customWidth="1"/>
    <col min="5" max="5" width="4.33203125" customWidth="1"/>
    <col min="6" max="6" width="8.33203125" customWidth="1"/>
    <col min="7" max="7" width="4.33203125" customWidth="1"/>
    <col min="8" max="8" width="8.33203125" customWidth="1"/>
    <col min="9" max="9" width="4.33203125" customWidth="1"/>
    <col min="10" max="10" width="8.33203125" customWidth="1"/>
    <col min="11" max="11" width="4.33203125" customWidth="1"/>
    <col min="12" max="12" width="8.44140625" customWidth="1"/>
    <col min="13" max="13" width="4.33203125" customWidth="1"/>
    <col min="14" max="14" width="8.21875" customWidth="1"/>
    <col min="15" max="15" width="4.33203125" customWidth="1"/>
    <col min="16" max="16" width="8.33203125" customWidth="1"/>
    <col min="17" max="17" width="0.5546875" customWidth="1"/>
    <col min="18" max="18" width="13.21875" style="134" customWidth="1"/>
  </cols>
  <sheetData>
    <row r="1" spans="1:18" ht="11.4" hidden="1" customHeight="1" outlineLevel="1" x14ac:dyDescent="0.25">
      <c r="C1" s="130" t="s">
        <v>88</v>
      </c>
      <c r="D1" s="45"/>
      <c r="E1" s="45"/>
      <c r="F1" s="4"/>
      <c r="G1" s="4"/>
      <c r="H1" s="45"/>
      <c r="I1" s="45"/>
      <c r="J1" s="45"/>
      <c r="K1" s="45"/>
      <c r="L1" s="4"/>
      <c r="M1" s="46"/>
      <c r="N1" s="4"/>
      <c r="O1" s="47"/>
      <c r="P1" s="42"/>
    </row>
    <row r="2" spans="1:18" ht="15" hidden="1" customHeight="1" outlineLevel="1" x14ac:dyDescent="0.25">
      <c r="C2" s="10" t="s">
        <v>11</v>
      </c>
      <c r="D2" s="11">
        <v>2026</v>
      </c>
      <c r="E2" s="4"/>
      <c r="F2" s="4"/>
      <c r="G2" s="43" t="s">
        <v>86</v>
      </c>
      <c r="H2" s="11">
        <v>4</v>
      </c>
      <c r="I2" s="10"/>
      <c r="J2" s="10"/>
      <c r="K2" s="43" t="s">
        <v>87</v>
      </c>
      <c r="L2" s="11">
        <v>1</v>
      </c>
      <c r="M2" s="12" t="s">
        <v>0</v>
      </c>
      <c r="N2" s="12"/>
      <c r="O2" s="13"/>
      <c r="P2" s="14" t="s">
        <v>77</v>
      </c>
    </row>
    <row r="3" spans="1:18" ht="9" hidden="1" customHeight="1" outlineLevel="1" x14ac:dyDescent="0.25">
      <c r="C3" s="4"/>
      <c r="D3" s="4"/>
      <c r="E3" s="4"/>
      <c r="F3" s="4"/>
      <c r="G3" s="4"/>
      <c r="H3" s="4"/>
      <c r="I3" s="4"/>
      <c r="J3" s="4"/>
      <c r="K3" s="4"/>
      <c r="L3" s="4"/>
      <c r="M3" s="4"/>
      <c r="N3" s="4"/>
      <c r="O3" s="4"/>
      <c r="P3" s="49" t="s">
        <v>91</v>
      </c>
    </row>
    <row r="4" spans="1:18" ht="10.199999999999999" customHeight="1" collapsed="1" x14ac:dyDescent="0.25"/>
    <row r="5" spans="1:18" ht="18" customHeight="1" x14ac:dyDescent="0.25">
      <c r="C5" s="131" t="s">
        <v>191</v>
      </c>
      <c r="I5" s="210"/>
      <c r="J5" s="210"/>
      <c r="K5" s="210"/>
      <c r="L5" s="210"/>
      <c r="M5" s="210"/>
      <c r="N5" s="210"/>
      <c r="O5" s="210"/>
      <c r="P5" s="210"/>
    </row>
    <row r="6" spans="1:18" ht="8.4" customHeight="1" x14ac:dyDescent="0.25">
      <c r="D6" s="57"/>
      <c r="E6" s="57"/>
      <c r="F6" s="57"/>
      <c r="G6" s="57"/>
      <c r="H6" s="57"/>
      <c r="I6" s="210"/>
      <c r="J6" s="210"/>
      <c r="K6" s="210"/>
      <c r="L6" s="210"/>
      <c r="M6" s="210"/>
      <c r="N6" s="210"/>
      <c r="O6" s="210"/>
      <c r="P6" s="210"/>
    </row>
    <row r="7" spans="1:18" s="1" customFormat="1" ht="21.6" hidden="1" customHeight="1" outlineLevel="1" x14ac:dyDescent="0.25">
      <c r="C7" t="s">
        <v>1</v>
      </c>
      <c r="D7" s="6">
        <f>DATE(D2,H2,1)</f>
        <v>46113</v>
      </c>
      <c r="R7" s="135"/>
    </row>
    <row r="8" spans="1:18" s="2" customFormat="1" ht="18" customHeight="1" collapsed="1" x14ac:dyDescent="0.25">
      <c r="A8" s="143">
        <f>D7</f>
        <v>46113</v>
      </c>
      <c r="C8" s="144" t="s">
        <v>109</v>
      </c>
      <c r="D8" s="145"/>
      <c r="E8" s="144" t="s">
        <v>110</v>
      </c>
      <c r="F8" s="145"/>
      <c r="G8" s="144" t="s">
        <v>111</v>
      </c>
      <c r="H8" s="145"/>
      <c r="I8" s="144" t="s">
        <v>112</v>
      </c>
      <c r="J8" s="145"/>
      <c r="K8" s="144" t="s">
        <v>113</v>
      </c>
      <c r="L8" s="145"/>
      <c r="M8" s="144" t="s">
        <v>114</v>
      </c>
      <c r="N8" s="145"/>
      <c r="O8" s="144" t="s">
        <v>115</v>
      </c>
      <c r="P8" s="145"/>
      <c r="R8" s="136" t="s">
        <v>132</v>
      </c>
    </row>
    <row r="9" spans="1:18" s="2" customFormat="1" ht="10.8" customHeight="1" x14ac:dyDescent="0.25">
      <c r="A9" s="143"/>
      <c r="C9" s="102" t="str">
        <f>IF(WEEKDAY($D$7,1)=startday,$D$7,"")</f>
        <v/>
      </c>
      <c r="D9" s="52" t="str">
        <f>IFERROR(INDEX(Events!$A:$A,MATCH(C9,Events!$G:$G,0)),"")</f>
        <v/>
      </c>
      <c r="E9" s="50" t="str">
        <f>IF(C9="",IF(WEEKDAY($D$7,1)=MOD(startday,7)+1,$D$7,""),C9+1)</f>
        <v/>
      </c>
      <c r="F9" s="52" t="str">
        <f>IFERROR(INDEX(Events!$A:$A,MATCH(E9,Events!$G:$G,0)),"")</f>
        <v/>
      </c>
      <c r="G9" s="50" t="str">
        <f>IF(E9="",IF(WEEKDAY($D$7,1)=MOD(startday+1,7)+1,$D$7,""),E9+1)</f>
        <v/>
      </c>
      <c r="H9" s="52" t="str">
        <f>IFERROR(INDEX(Events!$A:$A,MATCH(G9,Events!$G:$G,0)),"")</f>
        <v/>
      </c>
      <c r="I9" s="50">
        <v>1</v>
      </c>
      <c r="J9" s="97" t="s">
        <v>141</v>
      </c>
      <c r="K9" s="50">
        <f>IF(I9="",IF(WEEKDAY($D$7,1)=MOD(startday+3,7)+1,$D$7,""),I9+1)</f>
        <v>2</v>
      </c>
      <c r="L9" s="97" t="s">
        <v>142</v>
      </c>
      <c r="M9" s="50">
        <f>IF(K9="",IF(WEEKDAY($D$7,1)=MOD(startday+4,7)+1,$D$7,""),K9+1)</f>
        <v>3</v>
      </c>
      <c r="N9" s="97" t="s">
        <v>143</v>
      </c>
      <c r="O9" s="50">
        <f>IF(M9="",IF(WEEKDAY($D$7,1)=MOD(startday+5,7)+1,$D$7,""),M9+1)</f>
        <v>4</v>
      </c>
      <c r="P9" s="52" t="str">
        <f>IFERROR(INDEX(Events!$A:$A,MATCH(O9,Events!$G:$G,0)),"")</f>
        <v/>
      </c>
      <c r="R9" s="231" t="s">
        <v>124</v>
      </c>
    </row>
    <row r="10" spans="1:18" s="53" customFormat="1" ht="10.8" customHeight="1" x14ac:dyDescent="0.25">
      <c r="A10" s="143"/>
      <c r="C10" s="146" t="str">
        <f ca="1">IFERROR(INDEX(Events!$A:$A,MATCH(C9,Events!$H:$H,0)),"")</f>
        <v/>
      </c>
      <c r="D10" s="147" t="str">
        <f ca="1">IFERROR(INDEX(Events!#REF!,MATCH(C10,Events!A:A,0)),"")</f>
        <v/>
      </c>
      <c r="E10" s="146" t="str">
        <f ca="1">IFERROR(INDEX(Events!$A:$A,MATCH(E9,Events!$H:$H,0)),"")</f>
        <v/>
      </c>
      <c r="F10" s="147" t="str">
        <f ca="1">IFERROR(INDEX(Events!#REF!,MATCH(E10,Events!C:C,0)),"")</f>
        <v/>
      </c>
      <c r="G10" s="146" t="str">
        <f ca="1">IFERROR(INDEX(Events!$A:$A,MATCH(G9,Events!$H:$H,0)),"")</f>
        <v/>
      </c>
      <c r="H10" s="147" t="str">
        <f ca="1">IFERROR(INDEX(Events!#REF!,MATCH(G10,Events!E:E,0)),"")</f>
        <v/>
      </c>
      <c r="I10" s="151" t="s">
        <v>116</v>
      </c>
      <c r="J10" s="152" t="str">
        <f>IFERROR(INDEX(Events!A:A,MATCH(I10,Events!G:G,0)),"")</f>
        <v/>
      </c>
      <c r="K10" s="146"/>
      <c r="L10" s="147"/>
      <c r="M10" s="146" t="str">
        <f ca="1">IFERROR(INDEX(Events!$A:$A,MATCH(M9,Events!$H:$H,0)),"")</f>
        <v/>
      </c>
      <c r="N10" s="147" t="str">
        <f ca="1">IFERROR(INDEX(Events!E:E,MATCH(M10,Events!I:I,0)),"")</f>
        <v/>
      </c>
      <c r="O10" s="146" t="str">
        <f ca="1">IFERROR(INDEX(Events!$A:$A,MATCH(O9,Events!$H:$H,0)),"")</f>
        <v/>
      </c>
      <c r="P10" s="147" t="str">
        <f ca="1">IFERROR(INDEX(Events!G:G,MATCH(O10,Events!K:K,0)),"")</f>
        <v/>
      </c>
      <c r="R10" s="231"/>
    </row>
    <row r="11" spans="1:18" s="53" customFormat="1" ht="10.8" customHeight="1" x14ac:dyDescent="0.25">
      <c r="A11" s="143"/>
      <c r="C11" s="146" t="str">
        <f ca="1">IFERROR(INDEX(Events!$A:$A,MATCH(C9,Events!$I:$I,0)),"")</f>
        <v/>
      </c>
      <c r="D11" s="147"/>
      <c r="E11" s="146" t="str">
        <f ca="1">IFERROR(INDEX(Events!$A:$A,MATCH(E9,Events!$I:$I,0)),"")</f>
        <v/>
      </c>
      <c r="F11" s="147"/>
      <c r="G11" s="146" t="str">
        <f ca="1">IFERROR(INDEX(Events!$A:$A,MATCH(G9,Events!$I:$I,0)),"")</f>
        <v/>
      </c>
      <c r="H11" s="147"/>
      <c r="I11" s="151" t="s">
        <v>121</v>
      </c>
      <c r="J11" s="152"/>
      <c r="K11" s="146"/>
      <c r="L11" s="147"/>
      <c r="M11" s="146" t="str">
        <f ca="1">IFERROR(INDEX(Events!$A:$A,MATCH(M9,Events!$I:$I,0)),"")</f>
        <v/>
      </c>
      <c r="N11" s="147"/>
      <c r="O11" s="146" t="str">
        <f ca="1">IFERROR(INDEX(Events!$A:$A,MATCH(O9,Events!$I:$I,0)),"")</f>
        <v/>
      </c>
      <c r="P11" s="147"/>
      <c r="R11" s="231"/>
    </row>
    <row r="12" spans="1:18" s="53" customFormat="1" ht="10.8" customHeight="1" x14ac:dyDescent="0.25">
      <c r="A12" s="143"/>
      <c r="C12" s="146" t="str">
        <f ca="1">IFERROR(INDEX(Events!$A:$A,MATCH(C9,Events!$J:$J,0)),"")</f>
        <v/>
      </c>
      <c r="D12" s="147"/>
      <c r="E12" s="146" t="str">
        <f ca="1">IFERROR(INDEX(Events!$A:$A,MATCH(E9,Events!$J:$J,0)),"")</f>
        <v/>
      </c>
      <c r="F12" s="147"/>
      <c r="G12" s="146" t="str">
        <f ca="1">IFERROR(INDEX(Events!$A:$A,MATCH(G9,Events!$J:$J,0)),"")</f>
        <v/>
      </c>
      <c r="H12" s="147"/>
      <c r="I12" s="151" t="s">
        <v>123</v>
      </c>
      <c r="J12" s="152"/>
      <c r="K12" s="146"/>
      <c r="L12" s="147"/>
      <c r="M12" s="146" t="str">
        <f ca="1">IFERROR(INDEX(Events!$A:$A,MATCH(M9,Events!$J:$J,0)),"")</f>
        <v/>
      </c>
      <c r="N12" s="147"/>
      <c r="O12" s="146" t="str">
        <f ca="1">IFERROR(INDEX(Events!$A:$A,MATCH(O9,Events!$J:$J,0)),"")</f>
        <v/>
      </c>
      <c r="P12" s="147"/>
      <c r="R12" s="231"/>
    </row>
    <row r="13" spans="1:18" s="2" customFormat="1" ht="10.8" customHeight="1" x14ac:dyDescent="0.25">
      <c r="A13" s="143"/>
      <c r="C13" s="102">
        <f>IF(O9="","",IF(MONTH(O9+1)&lt;&gt;MONTH(O9),"",O9+1))</f>
        <v>5</v>
      </c>
      <c r="D13" s="52" t="str">
        <f>IFERROR(INDEX(Events!$A:$A,MATCH(C13,Events!$G:$G,0)),"")</f>
        <v/>
      </c>
      <c r="E13" s="50">
        <f>IF(C13="","",IF(MONTH(C13+1)&lt;&gt;MONTH(C13),"",C13+1))</f>
        <v>6</v>
      </c>
      <c r="F13" s="97" t="s">
        <v>144</v>
      </c>
      <c r="G13" s="50">
        <f>IF(E13="","",IF(MONTH(E13+1)&lt;&gt;MONTH(E13),"",E13+1))</f>
        <v>7</v>
      </c>
      <c r="H13" s="97" t="s">
        <v>145</v>
      </c>
      <c r="I13" s="50">
        <f>IF(G13="","",IF(MONTH(G13+1)&lt;&gt;MONTH(G13),"",G13+1))</f>
        <v>8</v>
      </c>
      <c r="J13" s="97" t="s">
        <v>146</v>
      </c>
      <c r="K13" s="50">
        <f>IF(I13="","",IF(MONTH(I13+1)&lt;&gt;MONTH(I13),"",I13+1))</f>
        <v>9</v>
      </c>
      <c r="L13" s="97" t="s">
        <v>147</v>
      </c>
      <c r="M13" s="50">
        <f>IF(K13="","",IF(MONTH(K13+1)&lt;&gt;MONTH(K13),"",K13+1))</f>
        <v>10</v>
      </c>
      <c r="N13" s="97" t="s">
        <v>151</v>
      </c>
      <c r="O13" s="50">
        <f>IF(M13="","",IF(MONTH(M13+1)&lt;&gt;MONTH(M13),"",M13+1))</f>
        <v>11</v>
      </c>
      <c r="P13" s="97"/>
      <c r="R13" s="230" t="s">
        <v>125</v>
      </c>
    </row>
    <row r="14" spans="1:18" s="53" customFormat="1" ht="10.8" customHeight="1" x14ac:dyDescent="0.25">
      <c r="A14" s="143"/>
      <c r="C14" s="146" t="str">
        <f ca="1">IFERROR(INDEX(Events!$A:$A,MATCH(C13,Events!$H:$H,0)),"")</f>
        <v/>
      </c>
      <c r="D14" s="147" t="str">
        <f ca="1">IFERROR(INDEX(Events!#REF!,MATCH(C14,Events!A:A,0)),"")</f>
        <v/>
      </c>
      <c r="E14" s="146" t="str">
        <f ca="1">IFERROR(INDEX(Events!$A:$A,MATCH(E13,Events!$H:$H,0)),"")</f>
        <v/>
      </c>
      <c r="F14" s="147" t="str">
        <f ca="1">IFERROR(INDEX(Events!#REF!,MATCH(E14,Events!C:C,0)),"")</f>
        <v/>
      </c>
      <c r="G14" s="158" t="s">
        <v>117</v>
      </c>
      <c r="H14" s="216" t="str">
        <f>IFERROR(INDEX(Events!#REF!,MATCH(G14,Events!E:E,0)),"")</f>
        <v/>
      </c>
      <c r="I14" s="193" t="s">
        <v>119</v>
      </c>
      <c r="J14" s="167" t="str">
        <f>IFERROR(INDEX(Events!A:A,MATCH(I14,Events!#REF!,0)),"")</f>
        <v/>
      </c>
      <c r="K14" s="146" t="str">
        <f ca="1">IFERROR(INDEX(Events!$A:$A,MATCH(K13,Events!$H:$H,0)),"")</f>
        <v/>
      </c>
      <c r="L14" s="147" t="str">
        <f ca="1">IFERROR(INDEX(Events!C:C,MATCH(K14,Events!G:G,0)),"")</f>
        <v/>
      </c>
      <c r="M14" s="146" t="str">
        <f ca="1">IFERROR(INDEX(Events!$A:$A,MATCH(M13,Events!$H:$H,0)),"")</f>
        <v/>
      </c>
      <c r="N14" s="147" t="str">
        <f ca="1">IFERROR(INDEX(Events!E:E,MATCH(M14,Events!I:I,0)),"")</f>
        <v/>
      </c>
      <c r="O14" s="146" t="str">
        <f ca="1">IFERROR(INDEX(Events!$A:$A,MATCH(O13,Events!$H:$H,0)),"")</f>
        <v/>
      </c>
      <c r="P14" s="147" t="str">
        <f ca="1">IFERROR(INDEX(Events!G:G,MATCH(O14,Events!K:K,0)),"")</f>
        <v/>
      </c>
      <c r="R14" s="230"/>
    </row>
    <row r="15" spans="1:18" s="53" customFormat="1" ht="10.8" customHeight="1" x14ac:dyDescent="0.25">
      <c r="A15" s="143"/>
      <c r="C15" s="146" t="str">
        <f ca="1">IFERROR(INDEX(Events!$A:$A,MATCH(C13,Events!$I:$I,0)),"")</f>
        <v/>
      </c>
      <c r="D15" s="147"/>
      <c r="E15" s="146" t="str">
        <f ca="1">IFERROR(INDEX(Events!$A:$A,MATCH(E13,Events!$I:$I,0)),"")</f>
        <v/>
      </c>
      <c r="F15" s="147"/>
      <c r="G15" s="158" t="s">
        <v>118</v>
      </c>
      <c r="H15" s="216"/>
      <c r="I15" s="209" t="s">
        <v>121</v>
      </c>
      <c r="J15" s="173"/>
      <c r="K15" s="209" t="s">
        <v>121</v>
      </c>
      <c r="L15" s="173"/>
      <c r="M15" s="209" t="s">
        <v>121</v>
      </c>
      <c r="N15" s="173"/>
      <c r="O15" s="146" t="str">
        <f ca="1">IFERROR(INDEX(Events!$A:$A,MATCH(O13,Events!$I:$I,0)),"")</f>
        <v/>
      </c>
      <c r="P15" s="147"/>
      <c r="R15" s="230"/>
    </row>
    <row r="16" spans="1:18" s="53" customFormat="1" ht="10.8" customHeight="1" x14ac:dyDescent="0.25">
      <c r="A16" s="143"/>
      <c r="C16" s="146" t="str">
        <f ca="1">IFERROR(INDEX(Events!$A:$A,MATCH(C13,Events!$J:$J,0)),"")</f>
        <v/>
      </c>
      <c r="D16" s="147"/>
      <c r="E16" s="146" t="str">
        <f ca="1">IFERROR(INDEX(Events!$A:$A,MATCH(E13,Events!$J:$J,0)),"")</f>
        <v/>
      </c>
      <c r="F16" s="147"/>
      <c r="G16" s="146" t="str">
        <f ca="1">IFERROR(INDEX(Events!$A:$A,MATCH(G13,Events!$J:$J,0)),"")</f>
        <v/>
      </c>
      <c r="H16" s="147"/>
      <c r="I16" s="146" t="s">
        <v>120</v>
      </c>
      <c r="J16" s="147"/>
      <c r="K16" s="146" t="s">
        <v>120</v>
      </c>
      <c r="L16" s="147"/>
      <c r="M16" s="146" t="s">
        <v>120</v>
      </c>
      <c r="N16" s="147"/>
      <c r="O16" s="146" t="str">
        <f ca="1">IFERROR(INDEX(Events!$A:$A,MATCH(O13,Events!$J:$J,0)),"")</f>
        <v/>
      </c>
      <c r="P16" s="147"/>
      <c r="R16" s="230"/>
    </row>
    <row r="17" spans="1:18" s="2" customFormat="1" ht="10.8" customHeight="1" x14ac:dyDescent="0.25">
      <c r="A17" s="143"/>
      <c r="C17" s="102">
        <f>IF(O13="","",IF(MONTH(O13+1)&lt;&gt;MONTH(O13),"",O13+1))</f>
        <v>12</v>
      </c>
      <c r="D17" s="52" t="str">
        <f>IFERROR(INDEX(Events!$A:$A,MATCH(C17,Events!$G:$G,0)),"")</f>
        <v/>
      </c>
      <c r="E17" s="50">
        <f>IF(C17="","",IF(MONTH(C17+1)&lt;&gt;MONTH(C17),"",C17+1))</f>
        <v>13</v>
      </c>
      <c r="F17" s="97"/>
      <c r="G17" s="50">
        <f>IF(E17="","",IF(MONTH(E17+1)&lt;&gt;MONTH(E17),"",E17+1))</f>
        <v>14</v>
      </c>
      <c r="H17" s="97"/>
      <c r="I17" s="50">
        <f>IF(G17="","",IF(MONTH(G17+1)&lt;&gt;MONTH(G17),"",G17+1))</f>
        <v>15</v>
      </c>
      <c r="J17" s="97"/>
      <c r="K17" s="50">
        <f>IF(I17="","",IF(MONTH(I17+1)&lt;&gt;MONTH(I17),"",I17+1))</f>
        <v>16</v>
      </c>
      <c r="L17" s="97"/>
      <c r="M17" s="50">
        <f>IF(K17="","",IF(MONTH(K17+1)&lt;&gt;MONTH(K17),"",K17+1))</f>
        <v>17</v>
      </c>
      <c r="N17" s="97"/>
      <c r="O17" s="50">
        <f>IF(M17="","",IF(MONTH(M17+1)&lt;&gt;MONTH(M17),"",M17+1))</f>
        <v>18</v>
      </c>
      <c r="P17" s="52" t="str">
        <f>IFERROR(INDEX(Events!$A:$A,MATCH(O17,Events!$G:$G,0)),"")</f>
        <v/>
      </c>
      <c r="R17" s="231" t="s">
        <v>126</v>
      </c>
    </row>
    <row r="18" spans="1:18" s="53" customFormat="1" ht="10.8" customHeight="1" x14ac:dyDescent="0.25">
      <c r="A18" s="143"/>
      <c r="C18" s="146" t="str">
        <f ca="1">IFERROR(INDEX(Events!$A:$A,MATCH(C17,Events!$H:$H,0)),"")</f>
        <v/>
      </c>
      <c r="D18" s="147" t="str">
        <f ca="1">IFERROR(INDEX(Events!#REF!,MATCH(C18,Events!A:A,0)),"")</f>
        <v/>
      </c>
      <c r="E18" s="146" t="str">
        <f ca="1">IFERROR(INDEX(Events!$A:$A,MATCH(E17,Events!$H:$H,0)),"")</f>
        <v/>
      </c>
      <c r="F18" s="147" t="str">
        <f ca="1">IFERROR(INDEX(Events!#REF!,MATCH(E18,Events!C:C,0)),"")</f>
        <v/>
      </c>
      <c r="G18" s="146" t="str">
        <f ca="1">IFERROR(INDEX(Events!$A:$A,MATCH(G17,Events!$H:$H,0)),"")</f>
        <v/>
      </c>
      <c r="H18" s="147" t="str">
        <f ca="1">IFERROR(INDEX(Events!#REF!,MATCH(G18,Events!E:E,0)),"")</f>
        <v/>
      </c>
      <c r="I18" s="146" t="str">
        <f ca="1">IFERROR(INDEX(Events!$A:$A,MATCH(I17,Events!$H:$H,0)),"")</f>
        <v/>
      </c>
      <c r="J18" s="147" t="str">
        <f ca="1">IFERROR(INDEX(Events!A:A,MATCH(I18,Events!G:G,0)),"")</f>
        <v/>
      </c>
      <c r="K18" s="146" t="str">
        <f ca="1">IFERROR(INDEX(Events!$A:$A,MATCH(K17,Events!$H:$H,0)),"")</f>
        <v/>
      </c>
      <c r="L18" s="147" t="str">
        <f ca="1">IFERROR(INDEX(Events!C:C,MATCH(K18,Events!I:I,0)),"")</f>
        <v/>
      </c>
      <c r="M18" s="146" t="str">
        <f ca="1">IFERROR(INDEX(Events!$A:$A,MATCH(M17,Events!$H:$H,0)),"")</f>
        <v/>
      </c>
      <c r="N18" s="147" t="str">
        <f ca="1">IFERROR(INDEX(Events!E:E,MATCH(M18,Events!#REF!,0)),"")</f>
        <v/>
      </c>
      <c r="O18" s="146" t="str">
        <f ca="1">IFERROR(INDEX(Events!$A:$A,MATCH(O17,Events!$H:$H,0)),"")</f>
        <v/>
      </c>
      <c r="P18" s="147" t="str">
        <f ca="1">IFERROR(INDEX(Events!G:G,MATCH(O18,Events!K:K,0)),"")</f>
        <v/>
      </c>
      <c r="R18" s="231"/>
    </row>
    <row r="19" spans="1:18" s="53" customFormat="1" ht="10.8" customHeight="1" x14ac:dyDescent="0.25">
      <c r="A19" s="143"/>
      <c r="C19" s="146" t="str">
        <f ca="1">IFERROR(INDEX(Events!$A:$A,MATCH(C17,Events!$I:$I,0)),"")</f>
        <v/>
      </c>
      <c r="D19" s="147"/>
      <c r="E19" s="209" t="s">
        <v>121</v>
      </c>
      <c r="F19" s="173"/>
      <c r="G19" s="209" t="s">
        <v>121</v>
      </c>
      <c r="H19" s="173"/>
      <c r="I19" s="209" t="s">
        <v>121</v>
      </c>
      <c r="J19" s="173"/>
      <c r="K19" s="209" t="s">
        <v>121</v>
      </c>
      <c r="L19" s="173"/>
      <c r="M19" s="209" t="s">
        <v>121</v>
      </c>
      <c r="N19" s="173"/>
      <c r="O19" s="146" t="str">
        <f ca="1">IFERROR(INDEX(Events!$A:$A,MATCH(O17,Events!$I:$I,0)),"")</f>
        <v/>
      </c>
      <c r="P19" s="147"/>
      <c r="R19" s="231"/>
    </row>
    <row r="20" spans="1:18" s="53" customFormat="1" ht="10.8" customHeight="1" x14ac:dyDescent="0.25">
      <c r="A20" s="143"/>
      <c r="C20" s="146" t="str">
        <f ca="1">IFERROR(INDEX(Events!$A:$A,MATCH(C17,Events!$J:$J,0)),"")</f>
        <v/>
      </c>
      <c r="D20" s="147"/>
      <c r="E20" s="146" t="s">
        <v>120</v>
      </c>
      <c r="F20" s="147"/>
      <c r="G20" s="146" t="s">
        <v>120</v>
      </c>
      <c r="H20" s="147"/>
      <c r="I20" s="146" t="s">
        <v>120</v>
      </c>
      <c r="J20" s="147"/>
      <c r="K20" s="146" t="s">
        <v>120</v>
      </c>
      <c r="L20" s="147"/>
      <c r="M20" s="146" t="s">
        <v>120</v>
      </c>
      <c r="N20" s="147"/>
      <c r="O20" s="146" t="str">
        <f ca="1">IFERROR(INDEX(Events!$A:$A,MATCH(O17,Events!$J:$J,0)),"")</f>
        <v/>
      </c>
      <c r="P20" s="147"/>
      <c r="R20" s="231"/>
    </row>
    <row r="21" spans="1:18" s="2" customFormat="1" ht="10.8" customHeight="1" x14ac:dyDescent="0.25">
      <c r="A21" s="143"/>
      <c r="C21" s="102">
        <f>IF(O17="","",IF(MONTH(O17+1)&lt;&gt;MONTH(O17),"",O17+1))</f>
        <v>19</v>
      </c>
      <c r="D21" s="52" t="str">
        <f>IFERROR(INDEX(Events!$A:$A,MATCH(C21,Events!$G:$G,0)),"")</f>
        <v/>
      </c>
      <c r="E21" s="50">
        <f>IF(C21="","",IF(MONTH(C21+1)&lt;&gt;MONTH(C21),"",C21+1))</f>
        <v>20</v>
      </c>
      <c r="F21" s="52" t="str">
        <f>IFERROR(INDEX(Events!$A:$A,MATCH(E21,Events!$G:$G,0)),"")</f>
        <v/>
      </c>
      <c r="G21" s="50">
        <f>IF(E21="","",IF(MONTH(E21+1)&lt;&gt;MONTH(E21),"",E21+1))</f>
        <v>21</v>
      </c>
      <c r="H21" s="52" t="str">
        <f>IFERROR(INDEX(Events!$A:$A,MATCH(G21,Events!$G:$G,0)),"")</f>
        <v/>
      </c>
      <c r="I21" s="50">
        <f>IF(G21="","",IF(MONTH(G21+1)&lt;&gt;MONTH(G21),"",G21+1))</f>
        <v>22</v>
      </c>
      <c r="J21" s="52" t="str">
        <f>IFERROR(INDEX(Events!$A:$A,MATCH(I21,Events!$G:$G,0)),"")</f>
        <v/>
      </c>
      <c r="K21" s="50">
        <f>IF(I21="","",IF(MONTH(I21+1)&lt;&gt;MONTH(I21),"",I21+1))</f>
        <v>23</v>
      </c>
      <c r="L21" s="52" t="str">
        <f>IFERROR(INDEX(Events!$A:$A,MATCH(K21,Events!$G:$G,0)),"")</f>
        <v/>
      </c>
      <c r="M21" s="50">
        <f>IF(K21="","",IF(MONTH(K21+1)&lt;&gt;MONTH(K21),"",K21+1))</f>
        <v>24</v>
      </c>
      <c r="N21" s="52" t="str">
        <f>IFERROR(INDEX(Events!$A:$A,MATCH(M21,Events!$G:$G,0)),"")</f>
        <v/>
      </c>
      <c r="O21" s="50">
        <f>IF(M21="","",IF(MONTH(M21+1)&lt;&gt;MONTH(M21),"",M21+1))</f>
        <v>25</v>
      </c>
      <c r="P21" s="52" t="str">
        <f>IFERROR(INDEX(Events!$A:$A,MATCH(O21,Events!$G:$G,0)),"")</f>
        <v/>
      </c>
      <c r="R21" s="231" t="s">
        <v>127</v>
      </c>
    </row>
    <row r="22" spans="1:18" s="53" customFormat="1" ht="10.8" customHeight="1" x14ac:dyDescent="0.25">
      <c r="A22" s="143"/>
      <c r="C22" s="146" t="str">
        <f ca="1">IFERROR(INDEX(Events!$A:$A,MATCH(C21,Events!$H:$H,0)),"")</f>
        <v/>
      </c>
      <c r="D22" s="147" t="str">
        <f ca="1">IFERROR(INDEX(Events!#REF!,MATCH(C22,Events!A:A,0)),"")</f>
        <v/>
      </c>
      <c r="E22" s="146" t="str">
        <f ca="1">IFERROR(INDEX(Events!$A:$A,MATCH(E21,Events!$H:$H,0)),"")</f>
        <v/>
      </c>
      <c r="F22" s="147" t="str">
        <f ca="1">IFERROR(INDEX(Events!#REF!,MATCH(E22,Events!C:C,0)),"")</f>
        <v/>
      </c>
      <c r="G22" s="178" t="s">
        <v>190</v>
      </c>
      <c r="H22" s="179"/>
      <c r="I22" s="235" t="s">
        <v>152</v>
      </c>
      <c r="J22" s="236" t="str">
        <f>IFERROR(INDEX(Events!A:A,MATCH(I22,Events!G:G,0)),"")</f>
        <v/>
      </c>
      <c r="K22" s="146" t="str">
        <f ca="1">IFERROR(INDEX(Events!$A:$A,MATCH(K21,Events!$H:$H,0)),"")</f>
        <v/>
      </c>
      <c r="L22" s="147" t="str">
        <f ca="1">IFERROR(INDEX(Events!C:C,MATCH(K22,Events!I:I,0)),"")</f>
        <v/>
      </c>
      <c r="M22" s="146" t="str">
        <f ca="1">IFERROR(INDEX(Events!$A:$A,MATCH(M21,Events!$H:$H,0)),"")</f>
        <v/>
      </c>
      <c r="N22" s="147" t="str">
        <f ca="1">IFERROR(INDEX(Events!E:E,MATCH(M22,Events!#REF!,0)),"")</f>
        <v/>
      </c>
      <c r="O22" s="146" t="str">
        <f ca="1">IFERROR(INDEX(Events!$A:$A,MATCH(O21,Events!$H:$H,0)),"")</f>
        <v/>
      </c>
      <c r="P22" s="147" t="str">
        <f ca="1">IFERROR(INDEX(Events!G:G,MATCH(O22,Events!K:K,0)),"")</f>
        <v/>
      </c>
      <c r="R22" s="231"/>
    </row>
    <row r="23" spans="1:18" s="53" customFormat="1" ht="10.8" customHeight="1" x14ac:dyDescent="0.25">
      <c r="A23" s="143"/>
      <c r="C23" s="146" t="str">
        <f ca="1">IFERROR(INDEX(Events!$A:$A,MATCH(C21,Events!$I:$I,0)),"")</f>
        <v/>
      </c>
      <c r="D23" s="147"/>
      <c r="E23" s="209" t="s">
        <v>121</v>
      </c>
      <c r="F23" s="173"/>
      <c r="G23" s="209" t="s">
        <v>121</v>
      </c>
      <c r="H23" s="173"/>
      <c r="I23" s="209" t="s">
        <v>121</v>
      </c>
      <c r="J23" s="173"/>
      <c r="K23" s="209" t="s">
        <v>121</v>
      </c>
      <c r="L23" s="173"/>
      <c r="M23" s="209" t="s">
        <v>121</v>
      </c>
      <c r="N23" s="173"/>
      <c r="O23" s="146" t="str">
        <f ca="1">IFERROR(INDEX(Events!$A:$A,MATCH(O21,Events!$I:$I,0)),"")</f>
        <v/>
      </c>
      <c r="P23" s="147"/>
      <c r="R23" s="231"/>
    </row>
    <row r="24" spans="1:18" s="53" customFormat="1" ht="10.8" customHeight="1" x14ac:dyDescent="0.25">
      <c r="A24" s="143"/>
      <c r="C24" s="146" t="str">
        <f ca="1">IFERROR(INDEX(Events!$A:$A,MATCH(C21,Events!$J:$J,0)),"")</f>
        <v/>
      </c>
      <c r="D24" s="147"/>
      <c r="E24" s="146" t="s">
        <v>120</v>
      </c>
      <c r="F24" s="147"/>
      <c r="G24" s="146" t="s">
        <v>120</v>
      </c>
      <c r="H24" s="147"/>
      <c r="I24" s="146" t="s">
        <v>120</v>
      </c>
      <c r="J24" s="147"/>
      <c r="K24" s="146" t="s">
        <v>120</v>
      </c>
      <c r="L24" s="147"/>
      <c r="M24" s="146" t="s">
        <v>120</v>
      </c>
      <c r="N24" s="147"/>
      <c r="O24" s="146" t="str">
        <f ca="1">IFERROR(INDEX(Events!$A:$A,MATCH(O21,Events!$J:$J,0)),"")</f>
        <v/>
      </c>
      <c r="P24" s="147"/>
      <c r="R24" s="231"/>
    </row>
    <row r="25" spans="1:18" s="2" customFormat="1" ht="10.8" customHeight="1" x14ac:dyDescent="0.25">
      <c r="A25" s="143"/>
      <c r="C25" s="102">
        <f>IF(O21="","",IF(MONTH(O21+1)&lt;&gt;MONTH(O21),"",O21+1))</f>
        <v>26</v>
      </c>
      <c r="D25" s="52" t="str">
        <f>IFERROR(INDEX(Events!$A:$A,MATCH(C25,Events!$G:$G,0)),"")</f>
        <v/>
      </c>
      <c r="E25" s="50">
        <f>IF(C25="","",IF(MONTH(C25+1)&lt;&gt;MONTH(C25),"",C25+1))</f>
        <v>27</v>
      </c>
      <c r="F25" s="52" t="str">
        <f>IFERROR(INDEX(Events!$A:$A,MATCH(E25,Events!$G:$G,0)),"")</f>
        <v/>
      </c>
      <c r="G25" s="50">
        <f>IF(E25="","",IF(MONTH(E25+1)&lt;&gt;MONTH(E25),"",E25+1))</f>
        <v>28</v>
      </c>
      <c r="H25" s="52" t="str">
        <f>IFERROR(INDEX(Events!$A:$A,MATCH(G25,Events!$G:$G,0)),"")</f>
        <v/>
      </c>
      <c r="I25" s="50">
        <f>IF(G25="","",IF(MONTH(G25+1)&lt;&gt;MONTH(G25),"",G25+1))</f>
        <v>29</v>
      </c>
      <c r="J25" s="103" t="str">
        <f>IFERROR(INDEX(Events!$A:$A,MATCH(I25,Events!$G:$G,0)),"")</f>
        <v/>
      </c>
      <c r="K25" s="50">
        <f>IF(I25="","",IF(MONTH(I25+1)&lt;&gt;MONTH(I25),"",I25+1))</f>
        <v>30</v>
      </c>
      <c r="L25" s="99"/>
      <c r="M25" s="126">
        <v>1</v>
      </c>
      <c r="N25" s="138"/>
      <c r="O25" s="50">
        <f>IF(M25="","",IF(MONTH(M25+1)&lt;&gt;MONTH(M25),"",M25+1))</f>
        <v>2</v>
      </c>
      <c r="P25" s="52" t="str">
        <f>IFERROR(INDEX(Events!$A:$A,MATCH(O25,Events!$G:$G,0)),"")</f>
        <v/>
      </c>
      <c r="R25" s="231" t="s">
        <v>128</v>
      </c>
    </row>
    <row r="26" spans="1:18" s="53" customFormat="1" ht="10.8" customHeight="1" x14ac:dyDescent="0.25">
      <c r="A26" s="143"/>
      <c r="C26" s="146" t="str">
        <f ca="1">IFERROR(INDEX(Events!$A:$A,MATCH(C25,Events!$H:$H,0)),"")</f>
        <v/>
      </c>
      <c r="D26" s="147" t="str">
        <f ca="1">IFERROR(INDEX(Events!#REF!,MATCH(C26,Events!A:A,0)),"")</f>
        <v/>
      </c>
      <c r="E26" s="146" t="str">
        <f ca="1">IFERROR(INDEX(Events!$A:$A,MATCH(E25,Events!$H:$H,0)),"")</f>
        <v/>
      </c>
      <c r="F26" s="147" t="str">
        <f ca="1">IFERROR(INDEX(Events!#REF!,MATCH(E26,Events!C:C,0)),"")</f>
        <v/>
      </c>
      <c r="G26" s="146" t="str">
        <f ca="1">IFERROR(INDEX(Events!$A:$A,MATCH(G25,Events!$H:$H,0)),"")</f>
        <v/>
      </c>
      <c r="H26" s="147" t="str">
        <f ca="1">IFERROR(INDEX(Events!#REF!,MATCH(G26,Events!E:E,0)),"")</f>
        <v/>
      </c>
      <c r="I26" s="146" t="str">
        <f ca="1">IFERROR(INDEX(Events!$A:$A,MATCH(I25,Events!$H:$H,0)),"")</f>
        <v/>
      </c>
      <c r="J26" s="147" t="str">
        <f ca="1">IFERROR(INDEX(Events!#REF!,MATCH(I26,Events!G:G,0)),"")</f>
        <v/>
      </c>
      <c r="K26" s="146" t="str">
        <f ca="1">IFERROR(INDEX(Events!$A:$A,MATCH(K25,Events!$H:$H,0)),"")</f>
        <v/>
      </c>
      <c r="L26" s="147" t="str">
        <f ca="1">IFERROR(INDEX(Events!C:C,MATCH(K26,Events!I:I,0)),"")</f>
        <v/>
      </c>
      <c r="M26" s="243" t="s">
        <v>192</v>
      </c>
      <c r="N26" s="244" t="str">
        <f>IFERROR(INDEX(Events!E:E,MATCH(M26,Events!#REF!,0)),"")</f>
        <v/>
      </c>
      <c r="O26" s="146" t="str">
        <f ca="1">IFERROR(INDEX(Events!$A:$A,MATCH(O25,Events!$H:$H,0)),"")</f>
        <v/>
      </c>
      <c r="P26" s="147" t="str">
        <f ca="1">IFERROR(INDEX(Events!G:G,MATCH(O26,Events!K:K,0)),"")</f>
        <v/>
      </c>
      <c r="R26" s="231"/>
    </row>
    <row r="27" spans="1:18" s="53" customFormat="1" ht="10.8" customHeight="1" x14ac:dyDescent="0.25">
      <c r="A27" s="143"/>
      <c r="C27" s="146" t="str">
        <f ca="1">IFERROR(INDEX(Events!$A:$A,MATCH(C25,Events!$I:$I,0)),"")</f>
        <v/>
      </c>
      <c r="D27" s="147"/>
      <c r="E27" s="209" t="s">
        <v>121</v>
      </c>
      <c r="F27" s="173"/>
      <c r="G27" s="209" t="s">
        <v>121</v>
      </c>
      <c r="H27" s="173"/>
      <c r="I27" s="209" t="s">
        <v>121</v>
      </c>
      <c r="J27" s="173"/>
      <c r="K27" s="209" t="s">
        <v>121</v>
      </c>
      <c r="L27" s="173"/>
      <c r="M27" s="243" t="s">
        <v>121</v>
      </c>
      <c r="N27" s="244"/>
      <c r="O27" s="146" t="str">
        <f ca="1">IFERROR(INDEX(Events!$A:$A,MATCH(O25,Events!$I:$I,0)),"")</f>
        <v/>
      </c>
      <c r="P27" s="147"/>
      <c r="R27" s="231"/>
    </row>
    <row r="28" spans="1:18" s="53" customFormat="1" ht="10.8" customHeight="1" x14ac:dyDescent="0.25">
      <c r="A28" s="143"/>
      <c r="C28" s="211" t="str">
        <f ca="1">IFERROR(INDEX(Events!$A:$A,MATCH(C25,Events!$J:$J,0)),"")</f>
        <v/>
      </c>
      <c r="D28" s="177"/>
      <c r="E28" s="211" t="s">
        <v>120</v>
      </c>
      <c r="F28" s="177"/>
      <c r="G28" s="211" t="s">
        <v>120</v>
      </c>
      <c r="H28" s="177"/>
      <c r="I28" s="211" t="s">
        <v>120</v>
      </c>
      <c r="J28" s="177"/>
      <c r="K28" s="211" t="s">
        <v>120</v>
      </c>
      <c r="L28" s="177"/>
      <c r="M28" s="241" t="s">
        <v>120</v>
      </c>
      <c r="N28" s="242"/>
      <c r="O28" s="180" t="str">
        <f ca="1">IFERROR(INDEX(Events!$A:$A,MATCH(O25,Events!$J:$J,0)),"")</f>
        <v/>
      </c>
      <c r="P28" s="181"/>
      <c r="R28" s="231"/>
    </row>
    <row r="29" spans="1:18" ht="8.4" hidden="1" customHeight="1" x14ac:dyDescent="0.25">
      <c r="C29" s="132">
        <f>IF(O25="","",IF(MONTH(O25+1)&lt;&gt;MONTH(O25),"",O25+1))</f>
        <v>3</v>
      </c>
      <c r="D29" s="94" t="str">
        <f>IFERROR(INDEX(Events!$A:$A,MATCH(C29,Events!$G:$G,0)),"")</f>
        <v/>
      </c>
      <c r="E29" s="93">
        <f>IF(C29="","",IF(MONTH(C29+1)&lt;&gt;MONTH(C29),"",C29+1))</f>
        <v>4</v>
      </c>
      <c r="F29" s="94" t="str">
        <f>IFERROR(INDEX(Events!$A:$A,MATCH(E29,Events!$G:$G,0)),"")</f>
        <v/>
      </c>
    </row>
    <row r="30" spans="1:18" s="54" customFormat="1" ht="8.4" hidden="1" customHeight="1" x14ac:dyDescent="0.2">
      <c r="C30" s="165" t="str">
        <f ca="1">IFERROR(INDEX(Events!$A:$A,MATCH(C29,Events!$H:$H,0)),"")</f>
        <v/>
      </c>
      <c r="D30" s="165" t="str">
        <f ca="1">IFERROR(INDEX(Events!#REF!,MATCH(C30,Events!A:A,0)),"")</f>
        <v/>
      </c>
      <c r="E30" s="165" t="str">
        <f ca="1">IFERROR(INDEX(Events!$A:$A,MATCH(E29,Events!$H:$H,0)),"")</f>
        <v/>
      </c>
      <c r="F30" s="165" t="str">
        <f ca="1">IFERROR(INDEX(Events!#REF!,MATCH(E30,Events!C:C,0)),"")</f>
        <v/>
      </c>
      <c r="J30" s="55"/>
      <c r="K30" s="55"/>
      <c r="L30" s="55"/>
      <c r="M30" s="55"/>
      <c r="N30" s="55"/>
      <c r="O30" s="55"/>
      <c r="P30" s="55"/>
      <c r="R30" s="135"/>
    </row>
    <row r="31" spans="1:18" s="54" customFormat="1" ht="8.4" hidden="1" customHeight="1" x14ac:dyDescent="0.2">
      <c r="C31" s="165" t="str">
        <f ca="1">IFERROR(INDEX(Events!$A:$A,MATCH(C29,Events!$I:$I,0)),"")</f>
        <v/>
      </c>
      <c r="D31" s="165"/>
      <c r="E31" s="165" t="str">
        <f ca="1">IFERROR(INDEX(Events!$A:$A,MATCH(E29,Events!$I:$I,0)),"")</f>
        <v/>
      </c>
      <c r="F31" s="165"/>
      <c r="I31" s="210"/>
      <c r="J31" s="210"/>
      <c r="K31" s="210"/>
      <c r="L31" s="210"/>
      <c r="M31" s="210"/>
      <c r="N31" s="210"/>
      <c r="O31" s="210"/>
      <c r="P31" s="210"/>
      <c r="R31" s="135"/>
    </row>
    <row r="32" spans="1:18" s="54" customFormat="1" ht="8.4" hidden="1" customHeight="1" x14ac:dyDescent="0.2">
      <c r="C32" s="165" t="str">
        <f ca="1">IFERROR(INDEX(Events!$A:$A,MATCH(C29,Events!$J:$J,0)),"")</f>
        <v/>
      </c>
      <c r="D32" s="165"/>
      <c r="E32" s="165"/>
      <c r="F32" s="165"/>
      <c r="I32" s="210"/>
      <c r="J32" s="210"/>
      <c r="K32" s="210"/>
      <c r="L32" s="210"/>
      <c r="M32" s="210"/>
      <c r="N32" s="210"/>
      <c r="O32" s="210"/>
      <c r="P32" s="210"/>
      <c r="R32" s="135"/>
    </row>
    <row r="33" spans="1:18" ht="8.4" customHeight="1" x14ac:dyDescent="0.55000000000000004">
      <c r="I33" s="210"/>
      <c r="J33" s="210"/>
      <c r="K33" s="210"/>
      <c r="L33" s="210"/>
      <c r="M33" s="210"/>
      <c r="N33" s="210"/>
      <c r="O33" s="210"/>
      <c r="P33" s="210"/>
    </row>
    <row r="34" spans="1:18" s="1" customFormat="1" ht="8.4" hidden="1" customHeight="1" x14ac:dyDescent="0.25">
      <c r="C34" t="s">
        <v>1</v>
      </c>
      <c r="D34" s="6">
        <f>DATE(YEAR('2Q26'!$D$7),MONTH('2Q26'!$D$7)+1,1)</f>
        <v>46143</v>
      </c>
      <c r="R34" s="135"/>
    </row>
    <row r="35" spans="1:18" s="56" customFormat="1" ht="18" customHeight="1" x14ac:dyDescent="0.25">
      <c r="A35" s="143">
        <f>D34</f>
        <v>46143</v>
      </c>
      <c r="C35" s="144" t="s">
        <v>109</v>
      </c>
      <c r="D35" s="145"/>
      <c r="E35" s="144" t="s">
        <v>110</v>
      </c>
      <c r="F35" s="145"/>
      <c r="G35" s="144" t="s">
        <v>111</v>
      </c>
      <c r="H35" s="145"/>
      <c r="I35" s="144" t="s">
        <v>112</v>
      </c>
      <c r="J35" s="145"/>
      <c r="K35" s="144" t="s">
        <v>113</v>
      </c>
      <c r="L35" s="145"/>
      <c r="M35" s="144" t="s">
        <v>114</v>
      </c>
      <c r="N35" s="145"/>
      <c r="O35" s="144" t="s">
        <v>115</v>
      </c>
      <c r="P35" s="145"/>
      <c r="R35" s="136" t="s">
        <v>132</v>
      </c>
    </row>
    <row r="36" spans="1:18" s="1" customFormat="1" ht="10.199999999999999" customHeight="1" x14ac:dyDescent="0.2">
      <c r="A36" s="143"/>
      <c r="C36" s="102">
        <v>3</v>
      </c>
      <c r="D36" s="52" t="str">
        <f>IFERROR(INDEX(Events!$A:$A,MATCH(C36,Events!$G:$G,0)),"")</f>
        <v/>
      </c>
      <c r="E36" s="107">
        <f>IF(C36="",IF(WEEKDAY($D$34,1)=MOD(startday,7)+1,$D$34,""),C36+1)</f>
        <v>4</v>
      </c>
      <c r="F36" s="108" t="s">
        <v>141</v>
      </c>
      <c r="G36" s="50">
        <f>IF(E36="",IF(WEEKDAY($D$34,1)=MOD(startday+1,7)+1,$D$34,""),E36+1)</f>
        <v>5</v>
      </c>
      <c r="H36" s="97" t="s">
        <v>142</v>
      </c>
      <c r="I36" s="50">
        <f>IF(G36="",IF(WEEKDAY($D$34,1)=MOD(startday+2,7)+1,$D$34,""),G36+1)</f>
        <v>6</v>
      </c>
      <c r="J36" s="97" t="s">
        <v>143</v>
      </c>
      <c r="K36" s="50">
        <f>IF(I36="",IF(WEEKDAY($D$34,1)=MOD(startday+3,7)+1,$D$34,""),I36+1)</f>
        <v>7</v>
      </c>
      <c r="L36" s="97" t="s">
        <v>144</v>
      </c>
      <c r="M36" s="50">
        <v>8</v>
      </c>
      <c r="N36" s="97" t="s">
        <v>145</v>
      </c>
      <c r="O36" s="50">
        <f>IF(M36="",IF(WEEKDAY($D$34,1)=MOD(startday+5,7)+1,$D$34,""),M36+1)</f>
        <v>9</v>
      </c>
      <c r="P36" s="52" t="str">
        <f>IFERROR(INDEX(Events!$A:$A,MATCH(O36,Events!$G:$G,0)),"")</f>
        <v/>
      </c>
      <c r="R36" s="234" t="s">
        <v>130</v>
      </c>
    </row>
    <row r="37" spans="1:18" s="54" customFormat="1" ht="10.199999999999999" customHeight="1" x14ac:dyDescent="0.2">
      <c r="A37" s="143"/>
      <c r="C37" s="146" t="str">
        <f ca="1">IFERROR(INDEX(Events!$A:$A,MATCH(C36,Events!$H:$H,0)),"")</f>
        <v/>
      </c>
      <c r="D37" s="147"/>
      <c r="E37" s="191" t="s">
        <v>173</v>
      </c>
      <c r="F37" s="192" t="str">
        <f>IFERROR(INDEX(Events!#REF!,MATCH(E37,Events!#REF!,0)),"")</f>
        <v/>
      </c>
      <c r="G37" s="187" t="s">
        <v>163</v>
      </c>
      <c r="H37" s="188" t="str">
        <f>IFERROR(INDEX(Events!#REF!,MATCH(G37,Events!E:E,0)),"")</f>
        <v/>
      </c>
      <c r="I37" s="146" t="str">
        <f ca="1">IFERROR(INDEX(Events!$A:$A,MATCH(I36,Events!$H:$H,0)),"")</f>
        <v/>
      </c>
      <c r="J37" s="147"/>
      <c r="K37" s="146" t="str">
        <f ca="1">IFERROR(INDEX(Events!$A:$A,MATCH(K36,Events!$H:$H,0)),"")</f>
        <v/>
      </c>
      <c r="L37" s="147"/>
      <c r="M37" s="146" t="str">
        <f ca="1">IFERROR(INDEX(Events!$A:$A,MATCH(M36,Events!$H:$H,0)),"")</f>
        <v/>
      </c>
      <c r="N37" s="147"/>
      <c r="O37" s="146" t="str">
        <f ca="1">IFERROR(INDEX(Events!$A:$A,MATCH(O36,Events!$H:$H,0)),"")</f>
        <v/>
      </c>
      <c r="P37" s="147"/>
      <c r="R37" s="230"/>
    </row>
    <row r="38" spans="1:18" s="54" customFormat="1" ht="10.199999999999999" customHeight="1" x14ac:dyDescent="0.2">
      <c r="A38" s="143"/>
      <c r="C38" s="146" t="str">
        <f ca="1">IFERROR(INDEX(Events!$A:$A,MATCH(C36,Events!$I:$I,0)),"")</f>
        <v/>
      </c>
      <c r="D38" s="147"/>
      <c r="E38" s="191" t="s">
        <v>121</v>
      </c>
      <c r="F38" s="192"/>
      <c r="G38" s="209" t="s">
        <v>121</v>
      </c>
      <c r="H38" s="173"/>
      <c r="I38" s="209" t="s">
        <v>121</v>
      </c>
      <c r="J38" s="173"/>
      <c r="K38" s="209" t="s">
        <v>121</v>
      </c>
      <c r="L38" s="173"/>
      <c r="M38" s="209" t="s">
        <v>121</v>
      </c>
      <c r="N38" s="173"/>
      <c r="O38" s="146" t="str">
        <f ca="1">IFERROR(INDEX(Events!$A:$A,MATCH(O36,Events!$I:$I,0)),"")</f>
        <v/>
      </c>
      <c r="P38" s="147"/>
      <c r="R38" s="230"/>
    </row>
    <row r="39" spans="1:18" s="54" customFormat="1" ht="10.199999999999999" customHeight="1" x14ac:dyDescent="0.2">
      <c r="A39" s="143"/>
      <c r="C39" s="146"/>
      <c r="D39" s="147"/>
      <c r="E39" s="239" t="s">
        <v>120</v>
      </c>
      <c r="F39" s="240"/>
      <c r="G39" s="146" t="s">
        <v>120</v>
      </c>
      <c r="H39" s="147"/>
      <c r="I39" s="146" t="s">
        <v>120</v>
      </c>
      <c r="J39" s="147"/>
      <c r="K39" s="146" t="s">
        <v>120</v>
      </c>
      <c r="L39" s="147"/>
      <c r="M39" s="146" t="s">
        <v>120</v>
      </c>
      <c r="N39" s="147"/>
      <c r="O39" s="211"/>
      <c r="P39" s="177"/>
      <c r="R39" s="230"/>
    </row>
    <row r="40" spans="1:18" s="1" customFormat="1" ht="10.199999999999999" customHeight="1" x14ac:dyDescent="0.2">
      <c r="A40" s="143"/>
      <c r="C40" s="102">
        <f>IF(O36="","",IF(MONTH(O36+1)&lt;&gt;MONTH(O36),"",O36+1))</f>
        <v>10</v>
      </c>
      <c r="D40" s="52" t="str">
        <f>IFERROR(INDEX(Events!$A:$A,MATCH(C40,Events!$G:$G,0)),"")</f>
        <v/>
      </c>
      <c r="E40" s="127">
        <f>IF(C40="","",IF(MONTH(C40+1)&lt;&gt;MONTH(C40),"",C40+1))</f>
        <v>11</v>
      </c>
      <c r="F40" s="97" t="s">
        <v>146</v>
      </c>
      <c r="G40" s="50">
        <f>IF(E40="","",IF(MONTH(E40+1)&lt;&gt;MONTH(E40),"",E40+1))</f>
        <v>12</v>
      </c>
      <c r="H40" s="97" t="s">
        <v>147</v>
      </c>
      <c r="I40" s="50">
        <f>IF(G40="","",IF(MONTH(G40+1)&lt;&gt;MONTH(G40),"",G40+1))</f>
        <v>13</v>
      </c>
      <c r="J40" s="97" t="s">
        <v>151</v>
      </c>
      <c r="K40" s="50">
        <f>IF(I40="","",IF(MONTH(I40+1)&lt;&gt;MONTH(I40),"",I40+1))</f>
        <v>14</v>
      </c>
      <c r="L40" s="97" t="s">
        <v>153</v>
      </c>
      <c r="M40" s="50">
        <f>IF(K40="","",IF(MONTH(K40+1)&lt;&gt;MONTH(K40),"",K40+1))</f>
        <v>15</v>
      </c>
      <c r="N40" s="97" t="s">
        <v>154</v>
      </c>
      <c r="O40" s="50">
        <f>IF(M40="","",IF(MONTH(M40+1)&lt;&gt;MONTH(M40),"",M40+1))</f>
        <v>16</v>
      </c>
      <c r="P40" s="52"/>
      <c r="R40" s="231" t="s">
        <v>131</v>
      </c>
    </row>
    <row r="41" spans="1:18" s="54" customFormat="1" ht="10.199999999999999" customHeight="1" x14ac:dyDescent="0.2">
      <c r="A41" s="143"/>
      <c r="C41" s="146" t="str">
        <f ca="1">IFERROR(INDEX(Events!$A:$A,MATCH(C40,Events!$H:$H,0)),"")</f>
        <v/>
      </c>
      <c r="D41" s="147"/>
      <c r="E41" s="193" t="s">
        <v>119</v>
      </c>
      <c r="F41" s="167"/>
      <c r="G41" s="196" t="s">
        <v>162</v>
      </c>
      <c r="H41" s="197" t="str">
        <f>IFERROR(INDEX(Events!#REF!,MATCH(G41,Events!#REF!,0)),"")</f>
        <v/>
      </c>
      <c r="I41" s="146" t="str">
        <f ca="1">IFERROR(INDEX(Events!$A:$A,MATCH(I40,Events!$H:$H,0)),"")</f>
        <v/>
      </c>
      <c r="J41" s="147"/>
      <c r="K41" s="146" t="str">
        <f ca="1">IFERROR(INDEX(Events!$A:$A,MATCH(K40,Events!$H:$H,0)),"")</f>
        <v/>
      </c>
      <c r="L41" s="147"/>
      <c r="M41" s="146" t="str">
        <f ca="1">IFERROR(INDEX(Events!$A:$A,MATCH(M40,Events!$H:$H,0)),"")</f>
        <v/>
      </c>
      <c r="N41" s="147"/>
      <c r="O41" s="146" t="str">
        <f ca="1">IFERROR(INDEX(Events!$A:$A,MATCH(O40,Events!$H:$H,0)),"")</f>
        <v/>
      </c>
      <c r="P41" s="147"/>
      <c r="R41" s="231"/>
    </row>
    <row r="42" spans="1:18" s="54" customFormat="1" ht="10.199999999999999" customHeight="1" x14ac:dyDescent="0.2">
      <c r="A42" s="143"/>
      <c r="C42" s="146" t="str">
        <f ca="1">IFERROR(INDEX(Events!$A:$A,MATCH(C40,Events!$I:$I,0)),"")</f>
        <v/>
      </c>
      <c r="D42" s="147"/>
      <c r="E42" s="209" t="s">
        <v>121</v>
      </c>
      <c r="F42" s="173"/>
      <c r="G42" s="209" t="s">
        <v>121</v>
      </c>
      <c r="H42" s="173"/>
      <c r="I42" s="209" t="s">
        <v>121</v>
      </c>
      <c r="J42" s="173"/>
      <c r="K42" s="209" t="s">
        <v>121</v>
      </c>
      <c r="L42" s="173"/>
      <c r="M42" s="209" t="s">
        <v>121</v>
      </c>
      <c r="N42" s="173"/>
      <c r="O42" s="146" t="str">
        <f ca="1">IFERROR(INDEX(Events!$A:$A,MATCH(O40,Events!$I:$I,0)),"")</f>
        <v/>
      </c>
      <c r="P42" s="147"/>
      <c r="R42" s="231"/>
    </row>
    <row r="43" spans="1:18" s="54" customFormat="1" ht="10.199999999999999" customHeight="1" x14ac:dyDescent="0.2">
      <c r="A43" s="143"/>
      <c r="C43" s="180" t="str">
        <f ca="1">IFERROR(INDEX(Events!$A:$A,MATCH(C40,Events!$J:$J,0)),"")</f>
        <v/>
      </c>
      <c r="D43" s="181"/>
      <c r="E43" s="146" t="s">
        <v>120</v>
      </c>
      <c r="F43" s="147"/>
      <c r="G43" s="146" t="s">
        <v>120</v>
      </c>
      <c r="H43" s="147"/>
      <c r="I43" s="146" t="s">
        <v>120</v>
      </c>
      <c r="J43" s="147"/>
      <c r="K43" s="146" t="s">
        <v>120</v>
      </c>
      <c r="L43" s="147"/>
      <c r="M43" s="146" t="s">
        <v>120</v>
      </c>
      <c r="N43" s="147"/>
      <c r="O43" s="180" t="str">
        <f ca="1">IFERROR(INDEX(Events!$A:$A,MATCH(O40,Events!$J:$J,0)),"")</f>
        <v/>
      </c>
      <c r="P43" s="181"/>
      <c r="R43" s="231"/>
    </row>
    <row r="44" spans="1:18" s="1" customFormat="1" ht="10.199999999999999" customHeight="1" x14ac:dyDescent="0.2">
      <c r="A44" s="143"/>
      <c r="C44" s="102">
        <f>IF(O40="","",IF(MONTH(O40+1)&lt;&gt;MONTH(O40),"",O40+1))</f>
        <v>17</v>
      </c>
      <c r="D44" s="52" t="str">
        <f>IFERROR(INDEX(Events!$A:$A,MATCH(C44,Events!$G:$G,0)),"")</f>
        <v/>
      </c>
      <c r="E44" s="50">
        <f>IF(C44="","",IF(MONTH(C44+1)&lt;&gt;MONTH(C44),"",C44+1))</f>
        <v>18</v>
      </c>
      <c r="F44" s="97" t="s">
        <v>154</v>
      </c>
      <c r="G44" s="102">
        <f>IF(E44="","",IF(MONTH(E44+1)&lt;&gt;MONTH(E44),"",E44+1))</f>
        <v>19</v>
      </c>
      <c r="H44" s="97"/>
      <c r="I44" s="102">
        <f>IF(G44="","",IF(MONTH(G44+1)&lt;&gt;MONTH(G44),"",G44+1))</f>
        <v>20</v>
      </c>
      <c r="J44" s="97"/>
      <c r="K44" s="102">
        <f>IF(I44="","",IF(MONTH(I44+1)&lt;&gt;MONTH(I44),"",I44+1))</f>
        <v>21</v>
      </c>
      <c r="L44" s="97"/>
      <c r="M44" s="102">
        <f>IF(K44="","",IF(MONTH(K44+1)&lt;&gt;MONTH(K44),"",K44+1))</f>
        <v>22</v>
      </c>
      <c r="N44" s="97"/>
      <c r="O44" s="50">
        <f>IF(M44="","",IF(MONTH(M44+1)&lt;&gt;MONTH(M44),"",M44+1))</f>
        <v>23</v>
      </c>
      <c r="P44" s="52" t="str">
        <f>IFERROR(INDEX(Events!$A:$A,MATCH(O44,Events!$G:$G,0)),"")</f>
        <v/>
      </c>
      <c r="R44" s="231" t="s">
        <v>133</v>
      </c>
    </row>
    <row r="45" spans="1:18" s="54" customFormat="1" ht="10.199999999999999" customHeight="1" x14ac:dyDescent="0.2">
      <c r="A45" s="143"/>
      <c r="C45" s="146" t="str">
        <f ca="1">IFERROR(INDEX(Events!$A:$A,MATCH(C44,Events!$H:$H,0)),"")</f>
        <v/>
      </c>
      <c r="D45" s="147"/>
      <c r="E45" s="146" t="str">
        <f ca="1">IFERROR(INDEX(Events!$A:$A,MATCH(E44,Events!$H:$H,0)),"")</f>
        <v/>
      </c>
      <c r="F45" s="147"/>
      <c r="G45" s="232" t="str">
        <f ca="1">IFERROR(INDEX(Events!$A:$A,MATCH(G44,Events!$H:$H,0)),"")</f>
        <v/>
      </c>
      <c r="H45" s="233"/>
      <c r="I45" s="232" t="str">
        <f ca="1">IFERROR(INDEX(Events!$A:$A,MATCH(I44,Events!$H:$H,0)),"")</f>
        <v/>
      </c>
      <c r="J45" s="233"/>
      <c r="K45" s="146" t="str">
        <f ca="1">IFERROR(INDEX(Events!$A:$A,MATCH(K44,Events!$H:$H,0)),"")</f>
        <v/>
      </c>
      <c r="L45" s="147"/>
      <c r="M45" s="146" t="str">
        <f ca="1">IFERROR(INDEX(Events!$A:$A,MATCH(M44,Events!$H:$H,0)),"")</f>
        <v/>
      </c>
      <c r="N45" s="147"/>
      <c r="O45" s="146" t="str">
        <f ca="1">IFERROR(INDEX(Events!$A:$A,MATCH(O44,Events!$H:$H,0)),"")</f>
        <v/>
      </c>
      <c r="P45" s="147"/>
      <c r="R45" s="231"/>
    </row>
    <row r="46" spans="1:18" s="54" customFormat="1" ht="10.199999999999999" customHeight="1" x14ac:dyDescent="0.2">
      <c r="A46" s="143"/>
      <c r="C46" s="146" t="str">
        <f ca="1">IFERROR(INDEX(Events!$A:$A,MATCH(C44,Events!$I:$I,0)),"")</f>
        <v/>
      </c>
      <c r="D46" s="147"/>
      <c r="E46" s="209" t="s">
        <v>121</v>
      </c>
      <c r="F46" s="173"/>
      <c r="G46" s="209" t="s">
        <v>121</v>
      </c>
      <c r="H46" s="173"/>
      <c r="I46" s="209" t="s">
        <v>121</v>
      </c>
      <c r="J46" s="173"/>
      <c r="K46" s="209" t="s">
        <v>121</v>
      </c>
      <c r="L46" s="173"/>
      <c r="M46" s="209" t="s">
        <v>121</v>
      </c>
      <c r="N46" s="173"/>
      <c r="O46" s="146" t="str">
        <f ca="1">IFERROR(INDEX(Events!$A:$A,MATCH(O44,Events!$I:$I,0)),"")</f>
        <v/>
      </c>
      <c r="P46" s="147"/>
      <c r="R46" s="231"/>
    </row>
    <row r="47" spans="1:18" s="54" customFormat="1" ht="10.199999999999999" customHeight="1" x14ac:dyDescent="0.2">
      <c r="A47" s="143"/>
      <c r="C47" s="180" t="str">
        <f ca="1">IFERROR(INDEX(Events!$A:$A,MATCH(C44,Events!$J:$J,0)),"")</f>
        <v/>
      </c>
      <c r="D47" s="181"/>
      <c r="E47" s="180" t="s">
        <v>120</v>
      </c>
      <c r="F47" s="181"/>
      <c r="G47" s="180" t="s">
        <v>120</v>
      </c>
      <c r="H47" s="181"/>
      <c r="I47" s="180" t="s">
        <v>120</v>
      </c>
      <c r="J47" s="181"/>
      <c r="K47" s="180" t="s">
        <v>120</v>
      </c>
      <c r="L47" s="181"/>
      <c r="M47" s="180" t="s">
        <v>120</v>
      </c>
      <c r="N47" s="181"/>
      <c r="O47" s="180" t="str">
        <f ca="1">IFERROR(INDEX(Events!$A:$A,MATCH(O44,Events!$J:$J,0)),"")</f>
        <v/>
      </c>
      <c r="P47" s="181"/>
      <c r="R47" s="231"/>
    </row>
    <row r="48" spans="1:18" s="1" customFormat="1" ht="10.199999999999999" customHeight="1" x14ac:dyDescent="0.2">
      <c r="A48" s="143"/>
      <c r="C48" s="102">
        <f>IF(O44="","",IF(MONTH(O44+1)&lt;&gt;MONTH(O44),"",O44+1))</f>
        <v>24</v>
      </c>
      <c r="D48" s="52" t="str">
        <f>IFERROR(INDEX(Events!$A:$A,MATCH(C48,Events!$G:$G,0)),"")</f>
        <v/>
      </c>
      <c r="E48" s="50">
        <f>IF(C48="","",IF(MONTH(C48+1)&lt;&gt;MONTH(C48),"",C48+1))</f>
        <v>25</v>
      </c>
      <c r="F48" s="52" t="str">
        <f>IFERROR(INDEX(Events!$A:$A,MATCH(E48,Events!$G:$G,0)),"")</f>
        <v/>
      </c>
      <c r="G48" s="50">
        <f>IF(E48="","",IF(MONTH(E48+1)&lt;&gt;MONTH(E48),"",E48+1))</f>
        <v>26</v>
      </c>
      <c r="H48" s="52" t="str">
        <f>IFERROR(INDEX(Events!$A:$A,MATCH(G48,Events!$G:$G,0)),"")</f>
        <v/>
      </c>
      <c r="I48" s="50">
        <f>IF(G48="","",IF(MONTH(G48+1)&lt;&gt;MONTH(G48),"",G48+1))</f>
        <v>27</v>
      </c>
      <c r="J48" s="52" t="str">
        <f>IFERROR(INDEX(Events!$A:$A,MATCH(I48,Events!$G:$G,0)),"")</f>
        <v/>
      </c>
      <c r="K48" s="50">
        <f>IF(I48="","",IF(MONTH(I48+1)&lt;&gt;MONTH(I48),"",I48+1))</f>
        <v>28</v>
      </c>
      <c r="L48" s="52" t="str">
        <f>IFERROR(INDEX(Events!$A:$A,MATCH(K48,Events!$G:$G,0)),"")</f>
        <v/>
      </c>
      <c r="M48" s="50">
        <f>IF(K48="","",IF(MONTH(K48+1)&lt;&gt;MONTH(K48),"",K48+1))</f>
        <v>29</v>
      </c>
      <c r="N48" s="52" t="str">
        <f>IFERROR(INDEX(Events!$A:$A,MATCH(M48,Events!$G:$G,0)),"")</f>
        <v/>
      </c>
      <c r="O48" s="50">
        <f>IF(M48="","",IF(MONTH(M48+1)&lt;&gt;MONTH(M48),"",M48+1))</f>
        <v>30</v>
      </c>
      <c r="P48" s="52" t="str">
        <f>IFERROR(INDEX(Events!$A:$A,MATCH(O48,Events!$G:$G,0)),"")</f>
        <v/>
      </c>
      <c r="R48" s="231" t="s">
        <v>134</v>
      </c>
    </row>
    <row r="49" spans="1:18" s="54" customFormat="1" ht="10.199999999999999" customHeight="1" x14ac:dyDescent="0.2">
      <c r="A49" s="143"/>
      <c r="C49" s="146" t="str">
        <f ca="1">IFERROR(INDEX(Events!$A:$A,MATCH(C48,Events!$H:$H,0)),"")</f>
        <v/>
      </c>
      <c r="D49" s="147"/>
      <c r="E49" s="146" t="str">
        <f ca="1">IFERROR(INDEX(Events!$A:$A,MATCH(E48,Events!$H:$H,0)),"")</f>
        <v/>
      </c>
      <c r="F49" s="147"/>
      <c r="G49" s="146" t="str">
        <f ca="1">IFERROR(INDEX(Events!$A:$A,MATCH(G48,Events!$H:$H,0)),"")</f>
        <v/>
      </c>
      <c r="H49" s="147"/>
      <c r="I49" s="146" t="str">
        <f ca="1">IFERROR(INDEX(Events!$A:$A,MATCH(I48,Events!$H:$H,0)),"")</f>
        <v/>
      </c>
      <c r="J49" s="147"/>
      <c r="K49" s="146" t="str">
        <f ca="1">IFERROR(INDEX(Events!$A:$A,MATCH(K48,Events!$H:$H,0)),"")</f>
        <v/>
      </c>
      <c r="L49" s="147"/>
      <c r="M49" s="146" t="str">
        <f ca="1">IFERROR(INDEX(Events!$A:$A,MATCH(M48,Events!$H:$H,0)),"")</f>
        <v/>
      </c>
      <c r="N49" s="147"/>
      <c r="O49" s="146" t="str">
        <f ca="1">IFERROR(INDEX(Events!$A:$A,MATCH(O48,Events!$H:$H,0)),"")</f>
        <v/>
      </c>
      <c r="P49" s="147"/>
      <c r="R49" s="231"/>
    </row>
    <row r="50" spans="1:18" s="54" customFormat="1" ht="10.199999999999999" customHeight="1" x14ac:dyDescent="0.2">
      <c r="A50" s="143"/>
      <c r="C50" s="146" t="str">
        <f ca="1">IFERROR(INDEX(Events!$A:$A,MATCH(C48,Events!$I:$I,0)),"")</f>
        <v/>
      </c>
      <c r="D50" s="147"/>
      <c r="E50" s="209" t="s">
        <v>121</v>
      </c>
      <c r="F50" s="173"/>
      <c r="G50" s="209" t="s">
        <v>121</v>
      </c>
      <c r="H50" s="173"/>
      <c r="I50" s="209" t="s">
        <v>121</v>
      </c>
      <c r="J50" s="173"/>
      <c r="K50" s="209" t="s">
        <v>121</v>
      </c>
      <c r="L50" s="173"/>
      <c r="M50" s="209" t="s">
        <v>121</v>
      </c>
      <c r="N50" s="173"/>
      <c r="O50" s="146" t="str">
        <f ca="1">IFERROR(INDEX(Events!$A:$A,MATCH(O48,Events!$I:$I,0)),"")</f>
        <v/>
      </c>
      <c r="P50" s="147"/>
      <c r="R50" s="231"/>
    </row>
    <row r="51" spans="1:18" s="54" customFormat="1" ht="10.199999999999999" customHeight="1" x14ac:dyDescent="0.2">
      <c r="A51" s="143"/>
      <c r="C51" s="180" t="str">
        <f ca="1">IFERROR(INDEX(Events!$A:$A,MATCH(C48,Events!$J:$J,0)),"")</f>
        <v/>
      </c>
      <c r="D51" s="181"/>
      <c r="E51" s="180" t="s">
        <v>120</v>
      </c>
      <c r="F51" s="181"/>
      <c r="G51" s="180" t="s">
        <v>120</v>
      </c>
      <c r="H51" s="181"/>
      <c r="I51" s="180" t="s">
        <v>120</v>
      </c>
      <c r="J51" s="181"/>
      <c r="K51" s="180" t="s">
        <v>120</v>
      </c>
      <c r="L51" s="181"/>
      <c r="M51" s="180" t="s">
        <v>120</v>
      </c>
      <c r="N51" s="181"/>
      <c r="O51" s="180" t="str">
        <f ca="1">IFERROR(INDEX(Events!$A:$A,MATCH(O48,Events!$J:$J,0)),"")</f>
        <v/>
      </c>
      <c r="P51" s="181"/>
      <c r="R51" s="231"/>
    </row>
    <row r="52" spans="1:18" ht="10.199999999999999" hidden="1" customHeight="1" x14ac:dyDescent="0.25">
      <c r="A52" s="143"/>
      <c r="C52" s="102">
        <f>IF(O48="","",IF(MONTH(O48+1)&lt;&gt;MONTH(O48),"",O48+1))</f>
        <v>31</v>
      </c>
      <c r="D52" s="52" t="str">
        <f>IFERROR(INDEX(Events!$A:$A,MATCH(C52,Events!$G:$G,0)),"")</f>
        <v/>
      </c>
      <c r="E52" s="50" t="str">
        <f>IF(C52="","",IF(MONTH(C52+1)&lt;&gt;MONTH(C52),"",C52+1))</f>
        <v/>
      </c>
      <c r="F52" s="52" t="str">
        <f>IFERROR(INDEX(Events!$A:$A,MATCH(E52,Events!$G:$G,0)),"")</f>
        <v/>
      </c>
      <c r="G52" s="50" t="str">
        <f>IF(E52="","",IF(MONTH(E52+1)&lt;&gt;MONTH(E52),"",E52+1))</f>
        <v/>
      </c>
      <c r="H52" s="52" t="str">
        <f>IFERROR(INDEX(Events!$A:$A,MATCH(G52,Events!$G:$G,0)),"")</f>
        <v/>
      </c>
      <c r="I52" s="50" t="str">
        <f>IF(G52="","",IF(MONTH(G52+1)&lt;&gt;MONTH(G52),"",G52+1))</f>
        <v/>
      </c>
      <c r="J52" s="52" t="str">
        <f>IFERROR(INDEX(Events!$A:$A,MATCH(I52,Events!$G:$G,0)),"")</f>
        <v/>
      </c>
      <c r="K52" s="50" t="str">
        <f>IF(I52="","",IF(MONTH(I52+1)&lt;&gt;MONTH(I52),"",I52+1))</f>
        <v/>
      </c>
      <c r="L52" s="99" t="s">
        <v>148</v>
      </c>
      <c r="M52" s="50" t="str">
        <f>IF(K52="","",IF(MONTH(K52+1)&lt;&gt;MONTH(K52),"",K52+1))</f>
        <v/>
      </c>
      <c r="N52" s="99" t="s">
        <v>149</v>
      </c>
      <c r="O52" s="50" t="str">
        <f>IF(M52="","",IF(MONTH(M52+1)&lt;&gt;MONTH(M52),"",M52+1))</f>
        <v/>
      </c>
      <c r="P52" s="52" t="str">
        <f>IFERROR(INDEX(Events!$A:$A,MATCH(O52,Events!$G:$G,0)),"")</f>
        <v/>
      </c>
      <c r="R52" s="231" t="s">
        <v>134</v>
      </c>
    </row>
    <row r="53" spans="1:18" s="54" customFormat="1" ht="10.199999999999999" hidden="1" customHeight="1" x14ac:dyDescent="0.2">
      <c r="A53" s="143"/>
      <c r="C53" s="146" t="str">
        <f ca="1">IFERROR(INDEX(Events!$A:$A,MATCH(C52,Events!$H:$H,0)),"")</f>
        <v/>
      </c>
      <c r="D53" s="147"/>
      <c r="E53" s="146" t="str">
        <f ca="1">IFERROR(INDEX(Events!$A:$A,MATCH(E52,Events!$H:$H,0)),"")</f>
        <v/>
      </c>
      <c r="F53" s="147"/>
      <c r="G53" s="146" t="str">
        <f ca="1">IFERROR(INDEX(Events!$A:$A,MATCH(G52,Events!$H:$H,0)),"")</f>
        <v/>
      </c>
      <c r="H53" s="147"/>
      <c r="I53" s="146" t="str">
        <f ca="1">IFERROR(INDEX(Events!$A:$A,MATCH(I52,Events!$H:$H,0)),"")</f>
        <v/>
      </c>
      <c r="J53" s="147"/>
      <c r="K53" s="146" t="str">
        <f ca="1">IFERROR(INDEX(Events!$A:$A,MATCH(K52,Events!$H:$H,0)),"")</f>
        <v/>
      </c>
      <c r="L53" s="147"/>
      <c r="M53" s="146" t="str">
        <f ca="1">IFERROR(INDEX(Events!$A:$A,MATCH(M52,Events!$H:$H,0)),"")</f>
        <v/>
      </c>
      <c r="N53" s="147"/>
      <c r="O53" s="146" t="str">
        <f ca="1">IFERROR(INDEX(Events!$A:$A,MATCH(O52,Events!$H:$H,0)),"")</f>
        <v/>
      </c>
      <c r="P53" s="147"/>
      <c r="R53" s="231"/>
    </row>
    <row r="54" spans="1:18" s="54" customFormat="1" ht="10.199999999999999" hidden="1" customHeight="1" x14ac:dyDescent="0.2">
      <c r="A54" s="143"/>
      <c r="C54" s="146" t="str">
        <f ca="1">IFERROR(INDEX(Events!$A:$A,MATCH(C52,Events!$I:$I,0)),"")</f>
        <v/>
      </c>
      <c r="D54" s="147"/>
      <c r="E54" s="209" t="s">
        <v>121</v>
      </c>
      <c r="F54" s="173"/>
      <c r="G54" s="146" t="str">
        <f ca="1">IFERROR(INDEX(Events!$A:$A,MATCH(G52,Events!$I:$I,0)),"")</f>
        <v/>
      </c>
      <c r="H54" s="147"/>
      <c r="I54" s="146" t="str">
        <f ca="1">IFERROR(INDEX(Events!$A:$A,MATCH(I52,Events!$I:$I,0)),"")</f>
        <v/>
      </c>
      <c r="J54" s="147"/>
      <c r="K54" s="209" t="s">
        <v>121</v>
      </c>
      <c r="L54" s="173"/>
      <c r="M54" s="209" t="s">
        <v>121</v>
      </c>
      <c r="N54" s="173"/>
      <c r="O54" s="146" t="str">
        <f ca="1">IFERROR(INDEX(Events!$A:$A,MATCH(O52,Events!$I:$I,0)),"")</f>
        <v/>
      </c>
      <c r="P54" s="147"/>
      <c r="R54" s="231"/>
    </row>
    <row r="55" spans="1:18" s="54" customFormat="1" ht="10.199999999999999" hidden="1" customHeight="1" x14ac:dyDescent="0.2">
      <c r="A55" s="143"/>
      <c r="C55" s="211" t="str">
        <f ca="1">IFERROR(INDEX(Events!$A:$A,MATCH(C52,Events!$J:$J,0)),"")</f>
        <v/>
      </c>
      <c r="D55" s="177"/>
      <c r="E55" s="211" t="s">
        <v>120</v>
      </c>
      <c r="F55" s="177"/>
      <c r="G55" s="211" t="s">
        <v>120</v>
      </c>
      <c r="H55" s="177"/>
      <c r="I55" s="211" t="s">
        <v>120</v>
      </c>
      <c r="J55" s="177"/>
      <c r="K55" s="211" t="s">
        <v>120</v>
      </c>
      <c r="L55" s="177"/>
      <c r="M55" s="211" t="s">
        <v>120</v>
      </c>
      <c r="N55" s="177"/>
      <c r="O55" s="180" t="str">
        <f ca="1">IFERROR(INDEX(Events!$A:$A,MATCH(O52,Events!$J:$J,0)),"")</f>
        <v/>
      </c>
      <c r="P55" s="181"/>
      <c r="R55" s="231"/>
    </row>
    <row r="56" spans="1:18" ht="8.4" hidden="1" customHeight="1" x14ac:dyDescent="0.25">
      <c r="C56" s="132" t="str">
        <f>IF(O52="","",IF(MONTH(O52+1)&lt;&gt;MONTH(O52),"",O52+1))</f>
        <v/>
      </c>
      <c r="D56" s="94" t="str">
        <f>IFERROR(INDEX(Events!$A:$A,MATCH(C56,Events!$G:$G,0)),"")</f>
        <v/>
      </c>
      <c r="E56" s="93" t="str">
        <f>IF(C56="","",IF(MONTH(C56+1)&lt;&gt;MONTH(C56),"",C56+1))</f>
        <v/>
      </c>
      <c r="F56" s="94" t="str">
        <f>IFERROR(INDEX(Events!$A:$A,MATCH(E56,Events!$G:$G,0)),"")</f>
        <v/>
      </c>
    </row>
    <row r="57" spans="1:18" s="54" customFormat="1" ht="8.4" hidden="1" customHeight="1" x14ac:dyDescent="0.2">
      <c r="C57" s="133" t="str">
        <f ca="1">IFERROR(INDEX(Events!$A:$A,MATCH(C56,Events!$H:$H,0)),"")</f>
        <v/>
      </c>
      <c r="D57" s="95" t="str">
        <f ca="1">IFERROR(INDEX(Events!#REF!,MATCH(C57,Events!A:A,0)),"")</f>
        <v/>
      </c>
      <c r="E57" s="95" t="str">
        <f ca="1">IFERROR(INDEX(Events!$A:$A,MATCH(E56,Events!$H:$H,0)),"")</f>
        <v/>
      </c>
      <c r="F57" s="95" t="str">
        <f ca="1">IFERROR(INDEX(Events!#REF!,MATCH(E57,Events!C:C,0)),"")</f>
        <v/>
      </c>
      <c r="J57" s="55"/>
      <c r="K57" s="55"/>
      <c r="L57" s="55"/>
      <c r="M57" s="55"/>
      <c r="N57" s="55"/>
      <c r="O57" s="55"/>
      <c r="P57" s="55"/>
      <c r="R57" s="135"/>
    </row>
    <row r="58" spans="1:18" s="54" customFormat="1" ht="8.4" hidden="1" customHeight="1" x14ac:dyDescent="0.2">
      <c r="C58" s="165" t="str">
        <f ca="1">IFERROR(INDEX(Events!$A:$A,MATCH(C56,Events!$I:$I,0)),"")</f>
        <v/>
      </c>
      <c r="D58" s="165"/>
      <c r="E58" s="165" t="str">
        <f ca="1">IFERROR(INDEX(Events!$A:$A,MATCH(E56,Events!$I:$I,0)),"")</f>
        <v/>
      </c>
      <c r="F58" s="165"/>
      <c r="I58" s="210"/>
      <c r="J58" s="210"/>
      <c r="K58" s="210"/>
      <c r="L58" s="210"/>
      <c r="M58" s="210"/>
      <c r="N58" s="210"/>
      <c r="O58" s="210"/>
      <c r="P58" s="210"/>
      <c r="R58" s="135"/>
    </row>
    <row r="59" spans="1:18" s="54" customFormat="1" ht="8.4" hidden="1" customHeight="1" x14ac:dyDescent="0.2">
      <c r="C59" s="165" t="str">
        <f ca="1">IFERROR(INDEX(Events!$A:$A,MATCH(C56,Events!$J:$J,0)),"")</f>
        <v/>
      </c>
      <c r="D59" s="165"/>
      <c r="E59" s="165"/>
      <c r="F59" s="165"/>
      <c r="I59" s="210"/>
      <c r="J59" s="210"/>
      <c r="K59" s="210"/>
      <c r="L59" s="210"/>
      <c r="M59" s="210"/>
      <c r="N59" s="210"/>
      <c r="O59" s="210"/>
      <c r="P59" s="210"/>
      <c r="R59" s="135"/>
    </row>
    <row r="60" spans="1:18" ht="8.4" customHeight="1" x14ac:dyDescent="0.55000000000000004">
      <c r="I60" s="210"/>
      <c r="J60" s="210"/>
      <c r="K60" s="210"/>
      <c r="L60" s="210"/>
      <c r="M60" s="210"/>
      <c r="N60" s="210"/>
      <c r="O60" s="210"/>
      <c r="P60" s="210"/>
    </row>
    <row r="61" spans="1:18" ht="8.4" hidden="1" customHeight="1" x14ac:dyDescent="0.25">
      <c r="C61" t="s">
        <v>1</v>
      </c>
      <c r="D61" s="6">
        <f>DATE(YEAR('2Q26'!$D$7),MONTH('2Q26'!$D$7)+2,1)</f>
        <v>46174</v>
      </c>
      <c r="E61" s="1"/>
      <c r="F61" s="1"/>
      <c r="G61" s="1"/>
      <c r="H61" s="1"/>
      <c r="I61" s="1"/>
      <c r="J61" s="1"/>
      <c r="K61" s="1"/>
      <c r="L61" s="1"/>
      <c r="M61" s="1"/>
      <c r="N61" s="1"/>
      <c r="O61" s="1"/>
      <c r="P61" s="1"/>
    </row>
    <row r="62" spans="1:18" s="56" customFormat="1" ht="18" customHeight="1" x14ac:dyDescent="0.25">
      <c r="A62" s="143">
        <f>D61</f>
        <v>46174</v>
      </c>
      <c r="C62" s="144" t="s">
        <v>109</v>
      </c>
      <c r="D62" s="145"/>
      <c r="E62" s="144" t="s">
        <v>110</v>
      </c>
      <c r="F62" s="145"/>
      <c r="G62" s="144" t="s">
        <v>111</v>
      </c>
      <c r="H62" s="145"/>
      <c r="I62" s="144" t="s">
        <v>112</v>
      </c>
      <c r="J62" s="145"/>
      <c r="K62" s="144" t="s">
        <v>113</v>
      </c>
      <c r="L62" s="145"/>
      <c r="M62" s="144" t="s">
        <v>114</v>
      </c>
      <c r="N62" s="145"/>
      <c r="O62" s="144" t="s">
        <v>115</v>
      </c>
      <c r="P62" s="145"/>
      <c r="R62" s="136" t="s">
        <v>132</v>
      </c>
    </row>
    <row r="63" spans="1:18" ht="10.199999999999999" customHeight="1" x14ac:dyDescent="0.25">
      <c r="A63" s="143"/>
      <c r="C63" s="102">
        <v>31</v>
      </c>
      <c r="D63" s="52" t="str">
        <f>IFERROR(INDEX(Events!$A:$A,MATCH(C63,Events!$G:$G,0)),"")</f>
        <v/>
      </c>
      <c r="E63" s="107">
        <v>1</v>
      </c>
      <c r="F63" s="108" t="s">
        <v>141</v>
      </c>
      <c r="G63" s="50">
        <f>IF(E63="",IF(WEEKDAY($D$61,1)=MOD(startday+1,7)+1,$D$61,""),E63+1)</f>
        <v>2</v>
      </c>
      <c r="H63" s="97" t="s">
        <v>142</v>
      </c>
      <c r="I63" s="50">
        <f>IF(G63="",IF(WEEKDAY($D$61,1)=MOD(startday+2,7)+1,$D$61,""),G63+1)</f>
        <v>3</v>
      </c>
      <c r="J63" s="97" t="s">
        <v>143</v>
      </c>
      <c r="K63" s="50">
        <f>IF(I63="",IF(WEEKDAY($D$61,1)=MOD(startday+3,7)+1,$D$61,""),I63+1)</f>
        <v>4</v>
      </c>
      <c r="L63" s="97" t="s">
        <v>144</v>
      </c>
      <c r="M63" s="50">
        <f>IF(K63="",IF(WEEKDAY($D$61,1)=MOD(startday+4,7)+1,$D$61,""),K63+1)</f>
        <v>5</v>
      </c>
      <c r="N63" s="97" t="s">
        <v>145</v>
      </c>
      <c r="O63" s="50">
        <f>IF(M63="",IF(WEEKDAY($D$61,1)=MOD(startday+5,7)+1,$D$61,""),M63+1)</f>
        <v>6</v>
      </c>
      <c r="P63" s="52"/>
      <c r="R63" s="230" t="s">
        <v>136</v>
      </c>
    </row>
    <row r="64" spans="1:18" s="54" customFormat="1" ht="10.199999999999999" customHeight="1" x14ac:dyDescent="0.2">
      <c r="A64" s="143"/>
      <c r="C64" s="146" t="str">
        <f ca="1">IFERROR(INDEX(Events!$A:$A,MATCH(C63,Events!$H:$H,0)),"")</f>
        <v/>
      </c>
      <c r="D64" s="147"/>
      <c r="E64" s="191" t="s">
        <v>165</v>
      </c>
      <c r="F64" s="192"/>
      <c r="G64" s="187" t="s">
        <v>163</v>
      </c>
      <c r="H64" s="188" t="str">
        <f>IFERROR(INDEX(Events!#REF!,MATCH(G64,Events!E:E,0)),"")</f>
        <v/>
      </c>
      <c r="I64" s="146" t="str">
        <f ca="1">IFERROR(INDEX(Events!$A:$A,MATCH(I63,Events!$H:$H,0)),"")</f>
        <v/>
      </c>
      <c r="J64" s="147"/>
      <c r="K64" s="146" t="str">
        <f ca="1">IFERROR(INDEX(Events!$A:$A,MATCH(K63,Events!$H:$H,0)),"")</f>
        <v/>
      </c>
      <c r="L64" s="147"/>
      <c r="M64" s="193" t="s">
        <v>119</v>
      </c>
      <c r="N64" s="167" t="str">
        <f>IFERROR(INDEX(Events!#REF!,MATCH(M64,Events!#REF!,0)),"")</f>
        <v/>
      </c>
      <c r="O64" s="146" t="str">
        <f ca="1">IFERROR(INDEX(Events!$A:$A,MATCH(O63,Events!$H:$H,0)),"")</f>
        <v/>
      </c>
      <c r="P64" s="147"/>
      <c r="R64" s="230"/>
    </row>
    <row r="65" spans="1:18" s="54" customFormat="1" ht="10.199999999999999" customHeight="1" x14ac:dyDescent="0.2">
      <c r="A65" s="143"/>
      <c r="C65" s="146" t="str">
        <f ca="1">IFERROR(INDEX(Events!$A:$A,MATCH(C63,Events!$I:$I,0)),"")</f>
        <v/>
      </c>
      <c r="D65" s="147"/>
      <c r="E65" s="191" t="s">
        <v>121</v>
      </c>
      <c r="F65" s="192"/>
      <c r="G65" s="209" t="s">
        <v>121</v>
      </c>
      <c r="H65" s="173"/>
      <c r="I65" s="209" t="s">
        <v>121</v>
      </c>
      <c r="J65" s="173"/>
      <c r="K65" s="209" t="s">
        <v>121</v>
      </c>
      <c r="L65" s="173"/>
      <c r="M65" s="209" t="s">
        <v>121</v>
      </c>
      <c r="N65" s="173"/>
      <c r="O65" s="146" t="str">
        <f ca="1">IFERROR(INDEX(Events!$A:$A,MATCH(O63,Events!$I:$I,0)),"")</f>
        <v/>
      </c>
      <c r="P65" s="147"/>
      <c r="R65" s="230"/>
    </row>
    <row r="66" spans="1:18" s="54" customFormat="1" ht="10.199999999999999" customHeight="1" x14ac:dyDescent="0.2">
      <c r="A66" s="143"/>
      <c r="C66" s="146"/>
      <c r="D66" s="147"/>
      <c r="E66" s="191" t="s">
        <v>120</v>
      </c>
      <c r="F66" s="192"/>
      <c r="G66" s="211" t="s">
        <v>120</v>
      </c>
      <c r="H66" s="177"/>
      <c r="I66" s="211" t="s">
        <v>120</v>
      </c>
      <c r="J66" s="177"/>
      <c r="K66" s="211" t="s">
        <v>120</v>
      </c>
      <c r="L66" s="177"/>
      <c r="M66" s="211" t="s">
        <v>120</v>
      </c>
      <c r="N66" s="177"/>
      <c r="O66" s="211"/>
      <c r="P66" s="177"/>
      <c r="R66" s="230"/>
    </row>
    <row r="67" spans="1:18" ht="10.199999999999999" customHeight="1" x14ac:dyDescent="0.25">
      <c r="A67" s="143"/>
      <c r="C67" s="102">
        <f>IF(O63="","",IF(MONTH(O63+1)&lt;&gt;MONTH(O63),"",O63+1))</f>
        <v>7</v>
      </c>
      <c r="D67" s="52" t="str">
        <f>IFERROR(INDEX(Events!$A:$A,MATCH(C67,Events!$G:$G,0)),"")</f>
        <v/>
      </c>
      <c r="E67" s="50">
        <f>IF(C67="","",IF(MONTH(C67+1)&lt;&gt;MONTH(C67),"",C67+1))</f>
        <v>8</v>
      </c>
      <c r="F67" s="97" t="s">
        <v>146</v>
      </c>
      <c r="G67" s="50">
        <f>IF(E67="","",IF(MONTH(E67+1)&lt;&gt;MONTH(E67),"",E67+1))</f>
        <v>9</v>
      </c>
      <c r="H67" s="97" t="s">
        <v>147</v>
      </c>
      <c r="I67" s="50">
        <f>IF(G67="","",IF(MONTH(G67+1)&lt;&gt;MONTH(G67),"",G67+1))</f>
        <v>10</v>
      </c>
      <c r="J67" s="97" t="s">
        <v>151</v>
      </c>
      <c r="K67" s="50">
        <f>IF(I67="","",IF(MONTH(I67+1)&lt;&gt;MONTH(I67),"",I67+1))</f>
        <v>11</v>
      </c>
      <c r="L67" s="97" t="s">
        <v>153</v>
      </c>
      <c r="M67" s="50">
        <f>IF(K67="","",IF(MONTH(K67+1)&lt;&gt;MONTH(K67),"",K67+1))</f>
        <v>12</v>
      </c>
      <c r="N67" s="97" t="s">
        <v>154</v>
      </c>
      <c r="O67" s="50">
        <f>IF(M67="","",IF(MONTH(M67+1)&lt;&gt;MONTH(M67),"",M67+1))</f>
        <v>13</v>
      </c>
      <c r="P67" s="52" t="str">
        <f>IFERROR(INDEX(Events!$A:$A,MATCH(O67,Events!$G:$G,0)),"")</f>
        <v/>
      </c>
      <c r="R67" s="231" t="s">
        <v>137</v>
      </c>
    </row>
    <row r="68" spans="1:18" s="54" customFormat="1" ht="10.199999999999999" customHeight="1" x14ac:dyDescent="0.2">
      <c r="A68" s="143"/>
      <c r="C68" s="146" t="str">
        <f ca="1">IFERROR(INDEX(Events!$A:$A,MATCH(C67,Events!$H:$H,0)),"")</f>
        <v/>
      </c>
      <c r="D68" s="147"/>
      <c r="E68" s="196" t="s">
        <v>162</v>
      </c>
      <c r="F68" s="197" t="str">
        <f>IFERROR(INDEX(Events!#REF!,MATCH(E68,Events!#REF!,0)),"")</f>
        <v/>
      </c>
      <c r="G68" s="203" t="s">
        <v>189</v>
      </c>
      <c r="H68" s="204"/>
      <c r="I68" s="146" t="str">
        <f ca="1">IFERROR(INDEX(Events!$A:$A,MATCH(I67,Events!$H:$H,0)),"")</f>
        <v/>
      </c>
      <c r="J68" s="147"/>
      <c r="K68" s="146" t="str">
        <f ca="1">IFERROR(INDEX(Events!$A:$A,MATCH(K67,Events!$H:$H,0)),"")</f>
        <v/>
      </c>
      <c r="L68" s="147"/>
      <c r="M68" s="146" t="str">
        <f ca="1">IFERROR(INDEX(Events!$A:$A,MATCH(M67,Events!$H:$H,0)),"")</f>
        <v/>
      </c>
      <c r="N68" s="147"/>
      <c r="O68" s="146" t="str">
        <f ca="1">IFERROR(INDEX(Events!$A:$A,MATCH(O67,Events!$H:$H,0)),"")</f>
        <v/>
      </c>
      <c r="P68" s="147"/>
      <c r="R68" s="231"/>
    </row>
    <row r="69" spans="1:18" s="54" customFormat="1" ht="10.199999999999999" customHeight="1" x14ac:dyDescent="0.2">
      <c r="A69" s="143"/>
      <c r="C69" s="146" t="str">
        <f ca="1">IFERROR(INDEX(Events!$A:$A,MATCH(C67,Events!$I:$I,0)),"")</f>
        <v/>
      </c>
      <c r="D69" s="147"/>
      <c r="E69" s="209" t="s">
        <v>121</v>
      </c>
      <c r="F69" s="173"/>
      <c r="G69" s="209" t="s">
        <v>121</v>
      </c>
      <c r="H69" s="173"/>
      <c r="I69" s="209" t="s">
        <v>121</v>
      </c>
      <c r="J69" s="173"/>
      <c r="K69" s="209" t="s">
        <v>121</v>
      </c>
      <c r="L69" s="173"/>
      <c r="M69" s="209" t="s">
        <v>121</v>
      </c>
      <c r="N69" s="173"/>
      <c r="O69" s="146" t="str">
        <f ca="1">IFERROR(INDEX(Events!$A:$A,MATCH(O67,Events!$I:$I,0)),"")</f>
        <v/>
      </c>
      <c r="P69" s="147"/>
      <c r="R69" s="231"/>
    </row>
    <row r="70" spans="1:18" s="54" customFormat="1" ht="10.199999999999999" customHeight="1" x14ac:dyDescent="0.2">
      <c r="A70" s="143"/>
      <c r="C70" s="146" t="str">
        <f ca="1">IFERROR(INDEX(Events!$A:$A,MATCH(C67,Events!$J:$J,0)),"")</f>
        <v/>
      </c>
      <c r="D70" s="147"/>
      <c r="E70" s="146" t="s">
        <v>120</v>
      </c>
      <c r="F70" s="147"/>
      <c r="G70" s="211" t="s">
        <v>120</v>
      </c>
      <c r="H70" s="177"/>
      <c r="I70" s="211" t="s">
        <v>120</v>
      </c>
      <c r="J70" s="177"/>
      <c r="K70" s="211" t="s">
        <v>120</v>
      </c>
      <c r="L70" s="177"/>
      <c r="M70" s="211" t="s">
        <v>120</v>
      </c>
      <c r="N70" s="177"/>
      <c r="O70" s="146" t="str">
        <f ca="1">IFERROR(INDEX(Events!$A:$A,MATCH(O67,Events!$J:$J,0)),"")</f>
        <v/>
      </c>
      <c r="P70" s="147"/>
      <c r="R70" s="231"/>
    </row>
    <row r="71" spans="1:18" ht="10.199999999999999" customHeight="1" x14ac:dyDescent="0.25">
      <c r="A71" s="143"/>
      <c r="C71" s="102">
        <f>IF(O67="","",IF(MONTH(O67+1)&lt;&gt;MONTH(O67),"",O67+1))</f>
        <v>14</v>
      </c>
      <c r="D71" s="52" t="str">
        <f>IFERROR(INDEX(Events!$A:$A,MATCH(C71,Events!$G:$G,0)),"")</f>
        <v/>
      </c>
      <c r="E71" s="50">
        <f>IF(C71="","",IF(MONTH(C71+1)&lt;&gt;MONTH(C71),"",C71+1))</f>
        <v>15</v>
      </c>
      <c r="F71" s="97"/>
      <c r="G71" s="102">
        <f>IF(E71="","",IF(MONTH(E71+1)&lt;&gt;MONTH(E71),"",E71+1))</f>
        <v>16</v>
      </c>
      <c r="H71" s="97"/>
      <c r="I71" s="102">
        <f>IF(G71="","",IF(MONTH(G71+1)&lt;&gt;MONTH(G71),"",G71+1))</f>
        <v>17</v>
      </c>
      <c r="J71" s="98" t="s">
        <v>168</v>
      </c>
      <c r="K71" s="102">
        <f>IF(I71="","",IF(MONTH(I71+1)&lt;&gt;MONTH(I71),"",I71+1))</f>
        <v>18</v>
      </c>
      <c r="L71" s="98" t="s">
        <v>167</v>
      </c>
      <c r="M71" s="102">
        <f>IF(K71="","",IF(MONTH(K71+1)&lt;&gt;MONTH(K71),"",K71+1))</f>
        <v>19</v>
      </c>
      <c r="N71" s="98" t="s">
        <v>166</v>
      </c>
      <c r="O71" s="50">
        <f>IF(M71="","",IF(MONTH(M71+1)&lt;&gt;MONTH(M71),"",M71+1))</f>
        <v>20</v>
      </c>
      <c r="P71" s="52" t="str">
        <f>IFERROR(INDEX(Events!$A:$A,MATCH(O71,Events!$G:$G,0)),"")</f>
        <v/>
      </c>
      <c r="R71" s="231" t="s">
        <v>138</v>
      </c>
    </row>
    <row r="72" spans="1:18" s="54" customFormat="1" ht="10.199999999999999" customHeight="1" x14ac:dyDescent="0.2">
      <c r="A72" s="143"/>
      <c r="C72" s="146" t="str">
        <f ca="1">IFERROR(INDEX(Events!$A:$A,MATCH(C71,Events!$H:$H,0)),"")</f>
        <v/>
      </c>
      <c r="D72" s="147"/>
      <c r="E72" s="146" t="str">
        <f ca="1">IFERROR(INDEX(Events!$A:$A,MATCH(E71,Events!$H:$H,0)),"")</f>
        <v/>
      </c>
      <c r="F72" s="147"/>
      <c r="G72" s="203" t="s">
        <v>184</v>
      </c>
      <c r="H72" s="204"/>
      <c r="I72" s="237" t="s">
        <v>194</v>
      </c>
      <c r="J72" s="238"/>
      <c r="K72" s="146" t="str">
        <f ca="1">IFERROR(INDEX(Events!$A:$A,MATCH(K71,Events!$H:$H,0)),"")</f>
        <v/>
      </c>
      <c r="L72" s="147"/>
      <c r="M72" s="237" t="s">
        <v>194</v>
      </c>
      <c r="N72" s="238"/>
      <c r="O72" s="146" t="str">
        <f ca="1">IFERROR(INDEX(Events!$A:$A,MATCH(O71,Events!$H:$H,0)),"")</f>
        <v/>
      </c>
      <c r="P72" s="147"/>
      <c r="R72" s="231"/>
    </row>
    <row r="73" spans="1:18" s="54" customFormat="1" ht="10.199999999999999" customHeight="1" x14ac:dyDescent="0.2">
      <c r="A73" s="143"/>
      <c r="C73" s="146" t="str">
        <f ca="1">IFERROR(INDEX(Events!$A:$A,MATCH(C71,Events!$I:$I,0)),"")</f>
        <v/>
      </c>
      <c r="D73" s="147"/>
      <c r="E73" s="209" t="s">
        <v>121</v>
      </c>
      <c r="F73" s="173"/>
      <c r="G73" s="209" t="s">
        <v>121</v>
      </c>
      <c r="H73" s="173"/>
      <c r="I73" s="209" t="s">
        <v>121</v>
      </c>
      <c r="J73" s="173"/>
      <c r="K73" s="209" t="s">
        <v>121</v>
      </c>
      <c r="L73" s="173"/>
      <c r="M73" s="209" t="s">
        <v>121</v>
      </c>
      <c r="N73" s="173"/>
      <c r="O73" s="209" t="s">
        <v>121</v>
      </c>
      <c r="P73" s="173"/>
      <c r="R73" s="231"/>
    </row>
    <row r="74" spans="1:18" s="54" customFormat="1" ht="10.199999999999999" customHeight="1" x14ac:dyDescent="0.2">
      <c r="A74" s="143"/>
      <c r="C74" s="146" t="str">
        <f ca="1">IFERROR(INDEX(Events!$A:$A,MATCH(C71,Events!$J:$J,0)),"")</f>
        <v/>
      </c>
      <c r="D74" s="147"/>
      <c r="E74" s="146" t="s">
        <v>120</v>
      </c>
      <c r="F74" s="147"/>
      <c r="G74" s="211" t="s">
        <v>120</v>
      </c>
      <c r="H74" s="177"/>
      <c r="I74" s="211" t="s">
        <v>120</v>
      </c>
      <c r="J74" s="177"/>
      <c r="K74" s="211" t="s">
        <v>120</v>
      </c>
      <c r="L74" s="177"/>
      <c r="M74" s="211" t="s">
        <v>120</v>
      </c>
      <c r="N74" s="177"/>
      <c r="O74" s="211" t="s">
        <v>120</v>
      </c>
      <c r="P74" s="177"/>
      <c r="R74" s="231"/>
    </row>
    <row r="75" spans="1:18" ht="10.199999999999999" customHeight="1" x14ac:dyDescent="0.25">
      <c r="A75" s="143"/>
      <c r="C75" s="102">
        <f>IF(O71="","",IF(MONTH(O71+1)&lt;&gt;MONTH(O71),"",O71+1))</f>
        <v>21</v>
      </c>
      <c r="D75" s="52" t="str">
        <f>IFERROR(INDEX(Events!$A:$A,MATCH(C75,Events!$G:$G,0)),"")</f>
        <v/>
      </c>
      <c r="E75" s="50">
        <f>IF(C75="","",IF(MONTH(C75+1)&lt;&gt;MONTH(C75),"",C75+1))</f>
        <v>22</v>
      </c>
      <c r="F75" s="98" t="s">
        <v>161</v>
      </c>
      <c r="G75" s="50">
        <f>IF(E75="","",IF(MONTH(E75+1)&lt;&gt;MONTH(E75),"",E75+1))</f>
        <v>23</v>
      </c>
      <c r="H75" s="98" t="s">
        <v>160</v>
      </c>
      <c r="I75" s="50">
        <f>IF(G75="","",IF(MONTH(G75+1)&lt;&gt;MONTH(G75),"",G75+1))</f>
        <v>24</v>
      </c>
      <c r="J75" s="98" t="s">
        <v>159</v>
      </c>
      <c r="K75" s="50">
        <f>IF(I75="","",IF(MONTH(I75+1)&lt;&gt;MONTH(I75),"",I75+1))</f>
        <v>25</v>
      </c>
      <c r="L75" s="98" t="s">
        <v>158</v>
      </c>
      <c r="M75" s="50">
        <f>IF(K75="","",IF(MONTH(K75+1)&lt;&gt;MONTH(K75),"",K75+1))</f>
        <v>26</v>
      </c>
      <c r="N75" s="98" t="s">
        <v>157</v>
      </c>
      <c r="O75" s="50">
        <f>IF(M75="","",IF(MONTH(M75+1)&lt;&gt;MONTH(M75),"",M75+1))</f>
        <v>27</v>
      </c>
      <c r="P75" s="52" t="str">
        <f>IFERROR(INDEX(Events!$A:$A,MATCH(O75,Events!$G:$G,0)),"")</f>
        <v/>
      </c>
      <c r="R75" s="231" t="s">
        <v>139</v>
      </c>
    </row>
    <row r="76" spans="1:18" s="54" customFormat="1" ht="10.199999999999999" customHeight="1" x14ac:dyDescent="0.2">
      <c r="A76" s="143"/>
      <c r="C76" s="146" t="str">
        <f ca="1">IFERROR(INDEX(Events!$A:$A,MATCH(C75,Events!$H:$H,0)),"")</f>
        <v/>
      </c>
      <c r="D76" s="147"/>
      <c r="E76" s="237" t="s">
        <v>194</v>
      </c>
      <c r="F76" s="238"/>
      <c r="G76" s="146" t="str">
        <f ca="1">IFERROR(INDEX(Events!$A:$A,MATCH(G75,Events!$H:$H,0)),"")</f>
        <v/>
      </c>
      <c r="H76" s="147"/>
      <c r="I76" s="237" t="s">
        <v>194</v>
      </c>
      <c r="J76" s="238"/>
      <c r="K76" s="146" t="str">
        <f ca="1">IFERROR(INDEX(Events!$A:$A,MATCH(K75,Events!$H:$H,0)),"")</f>
        <v/>
      </c>
      <c r="L76" s="147"/>
      <c r="M76" s="237" t="s">
        <v>194</v>
      </c>
      <c r="N76" s="238"/>
      <c r="O76" s="146" t="str">
        <f ca="1">IFERROR(INDEX(Events!$A:$A,MATCH(O75,Events!$H:$H,0)),"")</f>
        <v/>
      </c>
      <c r="P76" s="147"/>
      <c r="R76" s="231"/>
    </row>
    <row r="77" spans="1:18" s="54" customFormat="1" ht="10.199999999999999" customHeight="1" x14ac:dyDescent="0.2">
      <c r="A77" s="143"/>
      <c r="C77" s="146" t="str">
        <f ca="1">IFERROR(INDEX(Events!$A:$A,MATCH(C75,Events!$I:$I,0)),"")</f>
        <v/>
      </c>
      <c r="D77" s="147"/>
      <c r="E77" s="209" t="s">
        <v>121</v>
      </c>
      <c r="F77" s="173"/>
      <c r="G77" s="209" t="s">
        <v>121</v>
      </c>
      <c r="H77" s="173"/>
      <c r="I77" s="209" t="s">
        <v>121</v>
      </c>
      <c r="J77" s="173"/>
      <c r="K77" s="209" t="s">
        <v>121</v>
      </c>
      <c r="L77" s="173"/>
      <c r="M77" s="209" t="s">
        <v>121</v>
      </c>
      <c r="N77" s="173"/>
      <c r="O77" s="209" t="s">
        <v>121</v>
      </c>
      <c r="P77" s="173"/>
      <c r="R77" s="231"/>
    </row>
    <row r="78" spans="1:18" s="54" customFormat="1" ht="10.199999999999999" customHeight="1" x14ac:dyDescent="0.2">
      <c r="A78" s="143"/>
      <c r="C78" s="146" t="str">
        <f ca="1">IFERROR(INDEX(Events!$A:$A,MATCH(C75,Events!$J:$J,0)),"")</f>
        <v/>
      </c>
      <c r="D78" s="147"/>
      <c r="E78" s="146" t="s">
        <v>120</v>
      </c>
      <c r="F78" s="147"/>
      <c r="G78" s="211" t="s">
        <v>120</v>
      </c>
      <c r="H78" s="177"/>
      <c r="I78" s="211" t="s">
        <v>120</v>
      </c>
      <c r="J78" s="177"/>
      <c r="K78" s="211" t="s">
        <v>120</v>
      </c>
      <c r="L78" s="177"/>
      <c r="M78" s="211" t="s">
        <v>120</v>
      </c>
      <c r="N78" s="177"/>
      <c r="O78" s="211" t="s">
        <v>120</v>
      </c>
      <c r="P78" s="177"/>
      <c r="R78" s="231"/>
    </row>
    <row r="79" spans="1:18" ht="10.199999999999999" customHeight="1" x14ac:dyDescent="0.25">
      <c r="A79" s="143"/>
      <c r="C79" s="102">
        <f>IF(O75="","",IF(MONTH(O75+1)&lt;&gt;MONTH(O75),"",O75+1))</f>
        <v>28</v>
      </c>
      <c r="D79" s="52" t="str">
        <f>IFERROR(INDEX(Events!$A:$A,MATCH(C79,Events!$G:$G,0)),"")</f>
        <v/>
      </c>
      <c r="E79" s="50">
        <f>IF(C79="","",IF(MONTH(C79+1)&lt;&gt;MONTH(C79),"",C79+1))</f>
        <v>29</v>
      </c>
      <c r="F79" s="98" t="s">
        <v>148</v>
      </c>
      <c r="G79" s="102">
        <f>IF(E79="","",IF(MONTH(E79+1)&lt;&gt;MONTH(E79),"",E79+1))</f>
        <v>30</v>
      </c>
      <c r="H79" s="98" t="s">
        <v>149</v>
      </c>
      <c r="I79" s="137">
        <v>1</v>
      </c>
      <c r="J79" s="92" t="s">
        <v>141</v>
      </c>
      <c r="K79" s="102"/>
      <c r="L79" s="98"/>
      <c r="M79" s="102"/>
      <c r="N79" s="98"/>
      <c r="O79" s="50"/>
      <c r="P79" s="98"/>
      <c r="R79" s="231" t="s">
        <v>140</v>
      </c>
    </row>
    <row r="80" spans="1:18" s="54" customFormat="1" ht="10.199999999999999" customHeight="1" x14ac:dyDescent="0.2">
      <c r="A80" s="143"/>
      <c r="C80" s="146" t="str">
        <f ca="1">IFERROR(INDEX(Events!$A:$A,MATCH(C79,Events!$H:$H,0)),"")</f>
        <v/>
      </c>
      <c r="D80" s="147"/>
      <c r="E80" s="237" t="s">
        <v>194</v>
      </c>
      <c r="F80" s="238"/>
      <c r="G80" s="146" t="str">
        <f ca="1">IFERROR(INDEX(Events!$A:$A,MATCH(G79,Events!$H:$H,0)),"")</f>
        <v/>
      </c>
      <c r="H80" s="147"/>
      <c r="I80" s="151" t="s">
        <v>116</v>
      </c>
      <c r="J80" s="152" t="str">
        <f>IFERROR(INDEX(Events!A:A,MATCH(I80,Events!G:G,0)),"")</f>
        <v/>
      </c>
      <c r="K80" s="146"/>
      <c r="L80" s="147"/>
      <c r="M80" s="146"/>
      <c r="N80" s="147"/>
      <c r="O80" s="146"/>
      <c r="P80" s="147"/>
      <c r="R80" s="231"/>
    </row>
    <row r="81" spans="1:18" s="54" customFormat="1" ht="10.199999999999999" customHeight="1" x14ac:dyDescent="0.2">
      <c r="A81" s="143"/>
      <c r="C81" s="146" t="str">
        <f ca="1">IFERROR(INDEX(Events!$A:$A,MATCH(C79,Events!$I:$I,0)),"")</f>
        <v/>
      </c>
      <c r="D81" s="147"/>
      <c r="E81" s="209" t="s">
        <v>121</v>
      </c>
      <c r="F81" s="173"/>
      <c r="G81" s="209" t="s">
        <v>121</v>
      </c>
      <c r="H81" s="173"/>
      <c r="I81" s="151" t="s">
        <v>121</v>
      </c>
      <c r="J81" s="152"/>
      <c r="K81" s="209"/>
      <c r="L81" s="173"/>
      <c r="M81" s="209"/>
      <c r="N81" s="173"/>
      <c r="O81" s="209"/>
      <c r="P81" s="173"/>
      <c r="R81" s="231"/>
    </row>
    <row r="82" spans="1:18" s="54" customFormat="1" ht="10.199999999999999" customHeight="1" x14ac:dyDescent="0.2">
      <c r="A82" s="143"/>
      <c r="C82" s="180" t="str">
        <f ca="1">IFERROR(INDEX(Events!$A:$A,MATCH(C79,Events!$J:$J,0)),"")</f>
        <v/>
      </c>
      <c r="D82" s="181"/>
      <c r="E82" s="211" t="s">
        <v>120</v>
      </c>
      <c r="F82" s="177"/>
      <c r="G82" s="211" t="s">
        <v>120</v>
      </c>
      <c r="H82" s="177"/>
      <c r="I82" s="214" t="s">
        <v>123</v>
      </c>
      <c r="J82" s="215"/>
      <c r="K82" s="211"/>
      <c r="L82" s="177"/>
      <c r="M82" s="211"/>
      <c r="N82" s="177"/>
      <c r="O82" s="211"/>
      <c r="P82" s="177"/>
      <c r="R82" s="231"/>
    </row>
    <row r="83" spans="1:18" ht="10.199999999999999" hidden="1" customHeight="1" x14ac:dyDescent="0.25">
      <c r="A83" s="143"/>
      <c r="C83" s="102" t="str">
        <f>IF(O79="","",IF(MONTH(O79+1)&lt;&gt;MONTH(O79),"",O79+1))</f>
        <v/>
      </c>
      <c r="D83" s="52" t="str">
        <f>IFERROR(INDEX(Events!$A:$A,MATCH(C83,Events!$G:$G,0)),"")</f>
        <v/>
      </c>
      <c r="E83" s="104" t="str">
        <f>IF(C83="","",IF(MONTH(C83+1)&lt;&gt;MONTH(C83),"",C83+1))</f>
        <v/>
      </c>
      <c r="F83" s="129" t="s">
        <v>149</v>
      </c>
      <c r="G83" s="91">
        <v>1</v>
      </c>
      <c r="H83" s="92" t="s">
        <v>141</v>
      </c>
      <c r="I83" s="5"/>
      <c r="J83" s="5"/>
      <c r="K83" s="5"/>
      <c r="L83" s="5"/>
      <c r="R83" s="230" t="s">
        <v>140</v>
      </c>
    </row>
    <row r="84" spans="1:18" s="54" customFormat="1" ht="10.199999999999999" hidden="1" customHeight="1" x14ac:dyDescent="0.2">
      <c r="A84" s="143"/>
      <c r="C84" s="146" t="str">
        <f ca="1">IFERROR(INDEX(Events!$A:$A,MATCH(C83,Events!$H:$H,0)),"")</f>
        <v/>
      </c>
      <c r="D84" s="147"/>
      <c r="E84" s="146" t="str">
        <f ca="1">IFERROR(INDEX(Events!$A:$A,MATCH(E83,Events!$H:$H,0)),"")</f>
        <v/>
      </c>
      <c r="F84" s="147"/>
      <c r="G84" s="151" t="s">
        <v>116</v>
      </c>
      <c r="H84" s="152" t="str">
        <f>IFERROR(INDEX(Events!#REF!,MATCH(G84,Events!E:E,0)),"")</f>
        <v/>
      </c>
      <c r="I84" s="153" t="s">
        <v>181</v>
      </c>
      <c r="J84" s="154"/>
      <c r="K84" s="3"/>
      <c r="L84" s="3"/>
      <c r="R84" s="230"/>
    </row>
    <row r="85" spans="1:18" s="54" customFormat="1" ht="10.199999999999999" hidden="1" customHeight="1" x14ac:dyDescent="0.2">
      <c r="A85" s="143"/>
      <c r="C85" s="146" t="str">
        <f ca="1">IFERROR(INDEX(Events!$A:$A,MATCH(C83,Events!$I:$I,0)),"")</f>
        <v/>
      </c>
      <c r="D85" s="147"/>
      <c r="E85" s="209" t="s">
        <v>121</v>
      </c>
      <c r="F85" s="173"/>
      <c r="G85" s="151"/>
      <c r="H85" s="152"/>
      <c r="I85" s="3"/>
      <c r="J85" s="3"/>
      <c r="K85" s="3"/>
      <c r="L85" s="3"/>
      <c r="P85" s="60"/>
      <c r="R85" s="230"/>
    </row>
    <row r="86" spans="1:18" s="54" customFormat="1" ht="10.199999999999999" hidden="1" customHeight="1" x14ac:dyDescent="0.2">
      <c r="A86" s="143"/>
      <c r="C86" s="211" t="s">
        <v>120</v>
      </c>
      <c r="D86" s="177"/>
      <c r="E86" s="211" t="s">
        <v>120</v>
      </c>
      <c r="F86" s="177"/>
      <c r="G86" s="214" t="s">
        <v>123</v>
      </c>
      <c r="H86" s="215"/>
      <c r="I86" s="3"/>
      <c r="J86" s="3"/>
      <c r="K86" s="3"/>
      <c r="L86" s="3"/>
      <c r="P86" s="60"/>
      <c r="R86" s="230"/>
    </row>
  </sheetData>
  <mergeCells count="381">
    <mergeCell ref="I5:P6"/>
    <mergeCell ref="A8:A28"/>
    <mergeCell ref="C8:D8"/>
    <mergeCell ref="E8:F8"/>
    <mergeCell ref="G8:H8"/>
    <mergeCell ref="I8:J8"/>
    <mergeCell ref="K8:L8"/>
    <mergeCell ref="M8:N8"/>
    <mergeCell ref="O8:P8"/>
    <mergeCell ref="G11:H11"/>
    <mergeCell ref="I11:J11"/>
    <mergeCell ref="K11:L11"/>
    <mergeCell ref="M11:N11"/>
    <mergeCell ref="O11:P11"/>
    <mergeCell ref="C12:D12"/>
    <mergeCell ref="E12:F12"/>
    <mergeCell ref="G12:H12"/>
    <mergeCell ref="I12:J12"/>
    <mergeCell ref="K12:L12"/>
    <mergeCell ref="M12:N12"/>
    <mergeCell ref="C11:D11"/>
    <mergeCell ref="E11:F11"/>
    <mergeCell ref="E15:F15"/>
    <mergeCell ref="G15:H15"/>
    <mergeCell ref="I15:J15"/>
    <mergeCell ref="K15:L15"/>
    <mergeCell ref="M15:N15"/>
    <mergeCell ref="O15:P15"/>
    <mergeCell ref="O12:P12"/>
    <mergeCell ref="R13:R16"/>
    <mergeCell ref="C14:D14"/>
    <mergeCell ref="E14:F14"/>
    <mergeCell ref="G14:H14"/>
    <mergeCell ref="I14:J14"/>
    <mergeCell ref="K14:L14"/>
    <mergeCell ref="M14:N14"/>
    <mergeCell ref="O14:P14"/>
    <mergeCell ref="C15:D15"/>
    <mergeCell ref="R9:R12"/>
    <mergeCell ref="C10:D10"/>
    <mergeCell ref="E10:F10"/>
    <mergeCell ref="G10:H10"/>
    <mergeCell ref="I10:J10"/>
    <mergeCell ref="K10:L10"/>
    <mergeCell ref="M10:N10"/>
    <mergeCell ref="O10:P10"/>
    <mergeCell ref="E19:F19"/>
    <mergeCell ref="G19:H19"/>
    <mergeCell ref="I19:J19"/>
    <mergeCell ref="K19:L19"/>
    <mergeCell ref="M19:N19"/>
    <mergeCell ref="O19:P19"/>
    <mergeCell ref="O16:P16"/>
    <mergeCell ref="R17:R20"/>
    <mergeCell ref="C18:D18"/>
    <mergeCell ref="E18:F18"/>
    <mergeCell ref="G18:H18"/>
    <mergeCell ref="I18:J18"/>
    <mergeCell ref="K18:L18"/>
    <mergeCell ref="M18:N18"/>
    <mergeCell ref="O18:P18"/>
    <mergeCell ref="C19:D19"/>
    <mergeCell ref="C16:D16"/>
    <mergeCell ref="E16:F16"/>
    <mergeCell ref="G16:H16"/>
    <mergeCell ref="I16:J16"/>
    <mergeCell ref="K16:L16"/>
    <mergeCell ref="M16:N16"/>
    <mergeCell ref="E23:F23"/>
    <mergeCell ref="G23:H23"/>
    <mergeCell ref="I23:J23"/>
    <mergeCell ref="K23:L23"/>
    <mergeCell ref="M23:N23"/>
    <mergeCell ref="O23:P23"/>
    <mergeCell ref="O20:P20"/>
    <mergeCell ref="R21:R24"/>
    <mergeCell ref="C22:D22"/>
    <mergeCell ref="E22:F22"/>
    <mergeCell ref="G22:H22"/>
    <mergeCell ref="I22:J22"/>
    <mergeCell ref="K22:L22"/>
    <mergeCell ref="M22:N22"/>
    <mergeCell ref="O22:P22"/>
    <mergeCell ref="C23:D23"/>
    <mergeCell ref="C20:D20"/>
    <mergeCell ref="E20:F20"/>
    <mergeCell ref="G20:H20"/>
    <mergeCell ref="I20:J20"/>
    <mergeCell ref="K20:L20"/>
    <mergeCell ref="M20:N20"/>
    <mergeCell ref="E27:F27"/>
    <mergeCell ref="G27:H27"/>
    <mergeCell ref="I27:J27"/>
    <mergeCell ref="K27:L27"/>
    <mergeCell ref="M27:N27"/>
    <mergeCell ref="O27:P27"/>
    <mergeCell ref="O24:P24"/>
    <mergeCell ref="R25:R28"/>
    <mergeCell ref="C26:D26"/>
    <mergeCell ref="E26:F26"/>
    <mergeCell ref="G26:H26"/>
    <mergeCell ref="I26:J26"/>
    <mergeCell ref="K26:L26"/>
    <mergeCell ref="M26:N26"/>
    <mergeCell ref="O26:P26"/>
    <mergeCell ref="C27:D27"/>
    <mergeCell ref="C24:D24"/>
    <mergeCell ref="E24:F24"/>
    <mergeCell ref="G24:H24"/>
    <mergeCell ref="I24:J24"/>
    <mergeCell ref="K24:L24"/>
    <mergeCell ref="M24:N24"/>
    <mergeCell ref="O28:P28"/>
    <mergeCell ref="C30:D30"/>
    <mergeCell ref="E30:F30"/>
    <mergeCell ref="C31:D31"/>
    <mergeCell ref="E31:F31"/>
    <mergeCell ref="I31:P32"/>
    <mergeCell ref="C32:D32"/>
    <mergeCell ref="E32:F32"/>
    <mergeCell ref="C28:D28"/>
    <mergeCell ref="E28:F28"/>
    <mergeCell ref="G28:H28"/>
    <mergeCell ref="I28:J28"/>
    <mergeCell ref="K28:L28"/>
    <mergeCell ref="M28:N28"/>
    <mergeCell ref="I33:P33"/>
    <mergeCell ref="A35:A55"/>
    <mergeCell ref="C35:D35"/>
    <mergeCell ref="E35:F35"/>
    <mergeCell ref="G35:H35"/>
    <mergeCell ref="I35:J35"/>
    <mergeCell ref="K35:L35"/>
    <mergeCell ref="M35:N35"/>
    <mergeCell ref="O35:P35"/>
    <mergeCell ref="G38:H38"/>
    <mergeCell ref="I38:J38"/>
    <mergeCell ref="K38:L38"/>
    <mergeCell ref="M38:N38"/>
    <mergeCell ref="O38:P38"/>
    <mergeCell ref="C39:D39"/>
    <mergeCell ref="E39:F39"/>
    <mergeCell ref="G39:H39"/>
    <mergeCell ref="I39:J39"/>
    <mergeCell ref="K39:L39"/>
    <mergeCell ref="M39:N39"/>
    <mergeCell ref="C38:D38"/>
    <mergeCell ref="E38:F38"/>
    <mergeCell ref="E42:F42"/>
    <mergeCell ref="G42:H42"/>
    <mergeCell ref="I42:J42"/>
    <mergeCell ref="K42:L42"/>
    <mergeCell ref="M42:N42"/>
    <mergeCell ref="O42:P42"/>
    <mergeCell ref="O39:P39"/>
    <mergeCell ref="R40:R43"/>
    <mergeCell ref="C41:D41"/>
    <mergeCell ref="E41:F41"/>
    <mergeCell ref="G41:H41"/>
    <mergeCell ref="I41:J41"/>
    <mergeCell ref="K41:L41"/>
    <mergeCell ref="M41:N41"/>
    <mergeCell ref="O41:P41"/>
    <mergeCell ref="C42:D42"/>
    <mergeCell ref="R36:R39"/>
    <mergeCell ref="C37:D37"/>
    <mergeCell ref="E37:F37"/>
    <mergeCell ref="G37:H37"/>
    <mergeCell ref="I37:J37"/>
    <mergeCell ref="K37:L37"/>
    <mergeCell ref="M37:N37"/>
    <mergeCell ref="O37:P37"/>
    <mergeCell ref="E46:F46"/>
    <mergeCell ref="G46:H46"/>
    <mergeCell ref="I46:J46"/>
    <mergeCell ref="K46:L46"/>
    <mergeCell ref="M46:N46"/>
    <mergeCell ref="O46:P46"/>
    <mergeCell ref="O43:P43"/>
    <mergeCell ref="R44:R47"/>
    <mergeCell ref="C45:D45"/>
    <mergeCell ref="E45:F45"/>
    <mergeCell ref="G45:H45"/>
    <mergeCell ref="I45:J45"/>
    <mergeCell ref="K45:L45"/>
    <mergeCell ref="M45:N45"/>
    <mergeCell ref="O45:P45"/>
    <mergeCell ref="C46:D46"/>
    <mergeCell ref="C43:D43"/>
    <mergeCell ref="E43:F43"/>
    <mergeCell ref="G43:H43"/>
    <mergeCell ref="I43:J43"/>
    <mergeCell ref="K43:L43"/>
    <mergeCell ref="M43:N43"/>
    <mergeCell ref="E50:F50"/>
    <mergeCell ref="G50:H50"/>
    <mergeCell ref="I50:J50"/>
    <mergeCell ref="K50:L50"/>
    <mergeCell ref="M50:N50"/>
    <mergeCell ref="O50:P50"/>
    <mergeCell ref="O47:P47"/>
    <mergeCell ref="R48:R51"/>
    <mergeCell ref="C49:D49"/>
    <mergeCell ref="E49:F49"/>
    <mergeCell ref="G49:H49"/>
    <mergeCell ref="I49:J49"/>
    <mergeCell ref="K49:L49"/>
    <mergeCell ref="M49:N49"/>
    <mergeCell ref="O49:P49"/>
    <mergeCell ref="C50:D50"/>
    <mergeCell ref="C47:D47"/>
    <mergeCell ref="E47:F47"/>
    <mergeCell ref="G47:H47"/>
    <mergeCell ref="I47:J47"/>
    <mergeCell ref="K47:L47"/>
    <mergeCell ref="M47:N47"/>
    <mergeCell ref="E54:F54"/>
    <mergeCell ref="G54:H54"/>
    <mergeCell ref="I54:J54"/>
    <mergeCell ref="K54:L54"/>
    <mergeCell ref="M54:N54"/>
    <mergeCell ref="O54:P54"/>
    <mergeCell ref="O51:P51"/>
    <mergeCell ref="R52:R55"/>
    <mergeCell ref="C53:D53"/>
    <mergeCell ref="E53:F53"/>
    <mergeCell ref="G53:H53"/>
    <mergeCell ref="I53:J53"/>
    <mergeCell ref="K53:L53"/>
    <mergeCell ref="M53:N53"/>
    <mergeCell ref="O53:P53"/>
    <mergeCell ref="C54:D54"/>
    <mergeCell ref="C51:D51"/>
    <mergeCell ref="E51:F51"/>
    <mergeCell ref="G51:H51"/>
    <mergeCell ref="I51:J51"/>
    <mergeCell ref="K51:L51"/>
    <mergeCell ref="M51:N51"/>
    <mergeCell ref="O55:P55"/>
    <mergeCell ref="C58:D58"/>
    <mergeCell ref="E58:F58"/>
    <mergeCell ref="I58:P59"/>
    <mergeCell ref="C59:D59"/>
    <mergeCell ref="E59:F59"/>
    <mergeCell ref="C55:D55"/>
    <mergeCell ref="E55:F55"/>
    <mergeCell ref="G55:H55"/>
    <mergeCell ref="I55:J55"/>
    <mergeCell ref="K55:L55"/>
    <mergeCell ref="M55:N55"/>
    <mergeCell ref="I60:P60"/>
    <mergeCell ref="A62:A82"/>
    <mergeCell ref="C62:D62"/>
    <mergeCell ref="E62:F62"/>
    <mergeCell ref="G62:H62"/>
    <mergeCell ref="I62:J62"/>
    <mergeCell ref="K62:L62"/>
    <mergeCell ref="M62:N62"/>
    <mergeCell ref="O62:P62"/>
    <mergeCell ref="G65:H65"/>
    <mergeCell ref="I65:J65"/>
    <mergeCell ref="K65:L65"/>
    <mergeCell ref="M65:N65"/>
    <mergeCell ref="O65:P65"/>
    <mergeCell ref="C66:D66"/>
    <mergeCell ref="E66:F66"/>
    <mergeCell ref="G66:H66"/>
    <mergeCell ref="I66:J66"/>
    <mergeCell ref="K66:L66"/>
    <mergeCell ref="M66:N66"/>
    <mergeCell ref="C65:D65"/>
    <mergeCell ref="E65:F65"/>
    <mergeCell ref="E69:F69"/>
    <mergeCell ref="G69:H69"/>
    <mergeCell ref="I69:J69"/>
    <mergeCell ref="K69:L69"/>
    <mergeCell ref="M69:N69"/>
    <mergeCell ref="O69:P69"/>
    <mergeCell ref="O66:P66"/>
    <mergeCell ref="R67:R70"/>
    <mergeCell ref="C68:D68"/>
    <mergeCell ref="E68:F68"/>
    <mergeCell ref="G68:H68"/>
    <mergeCell ref="I68:J68"/>
    <mergeCell ref="K68:L68"/>
    <mergeCell ref="M68:N68"/>
    <mergeCell ref="O68:P68"/>
    <mergeCell ref="C69:D69"/>
    <mergeCell ref="R63:R66"/>
    <mergeCell ref="C64:D64"/>
    <mergeCell ref="E64:F64"/>
    <mergeCell ref="G64:H64"/>
    <mergeCell ref="I64:J64"/>
    <mergeCell ref="K64:L64"/>
    <mergeCell ref="M64:N64"/>
    <mergeCell ref="O64:P64"/>
    <mergeCell ref="E73:F73"/>
    <mergeCell ref="G73:H73"/>
    <mergeCell ref="I73:J73"/>
    <mergeCell ref="K73:L73"/>
    <mergeCell ref="M73:N73"/>
    <mergeCell ref="O73:P73"/>
    <mergeCell ref="O70:P70"/>
    <mergeCell ref="R71:R74"/>
    <mergeCell ref="C72:D72"/>
    <mergeCell ref="E72:F72"/>
    <mergeCell ref="G72:H72"/>
    <mergeCell ref="I72:J72"/>
    <mergeCell ref="K72:L72"/>
    <mergeCell ref="M72:N72"/>
    <mergeCell ref="O72:P72"/>
    <mergeCell ref="C73:D73"/>
    <mergeCell ref="C70:D70"/>
    <mergeCell ref="E70:F70"/>
    <mergeCell ref="G70:H70"/>
    <mergeCell ref="I70:J70"/>
    <mergeCell ref="K70:L70"/>
    <mergeCell ref="M70:N70"/>
    <mergeCell ref="E77:F77"/>
    <mergeCell ref="G77:H77"/>
    <mergeCell ref="I77:J77"/>
    <mergeCell ref="K77:L77"/>
    <mergeCell ref="M77:N77"/>
    <mergeCell ref="O77:P77"/>
    <mergeCell ref="O74:P74"/>
    <mergeCell ref="R75:R78"/>
    <mergeCell ref="C76:D76"/>
    <mergeCell ref="E76:F76"/>
    <mergeCell ref="G76:H76"/>
    <mergeCell ref="I76:J76"/>
    <mergeCell ref="K76:L76"/>
    <mergeCell ref="M76:N76"/>
    <mergeCell ref="O76:P76"/>
    <mergeCell ref="C77:D77"/>
    <mergeCell ref="C74:D74"/>
    <mergeCell ref="E74:F74"/>
    <mergeCell ref="G74:H74"/>
    <mergeCell ref="I74:J74"/>
    <mergeCell ref="K74:L74"/>
    <mergeCell ref="M74:N74"/>
    <mergeCell ref="E81:F81"/>
    <mergeCell ref="G81:H81"/>
    <mergeCell ref="I81:J81"/>
    <mergeCell ref="K81:L81"/>
    <mergeCell ref="M81:N81"/>
    <mergeCell ref="O81:P81"/>
    <mergeCell ref="O78:P78"/>
    <mergeCell ref="R79:R82"/>
    <mergeCell ref="C80:D80"/>
    <mergeCell ref="E80:F80"/>
    <mergeCell ref="G80:H80"/>
    <mergeCell ref="I80:J80"/>
    <mergeCell ref="K80:L80"/>
    <mergeCell ref="M80:N80"/>
    <mergeCell ref="O80:P80"/>
    <mergeCell ref="C81:D81"/>
    <mergeCell ref="C78:D78"/>
    <mergeCell ref="E78:F78"/>
    <mergeCell ref="G78:H78"/>
    <mergeCell ref="I78:J78"/>
    <mergeCell ref="K78:L78"/>
    <mergeCell ref="M78:N78"/>
    <mergeCell ref="C86:D86"/>
    <mergeCell ref="E86:F86"/>
    <mergeCell ref="G86:H86"/>
    <mergeCell ref="O82:P82"/>
    <mergeCell ref="A83:A86"/>
    <mergeCell ref="R83:R86"/>
    <mergeCell ref="C84:D84"/>
    <mergeCell ref="E84:F84"/>
    <mergeCell ref="G84:H84"/>
    <mergeCell ref="I84:J84"/>
    <mergeCell ref="C85:D85"/>
    <mergeCell ref="E85:F85"/>
    <mergeCell ref="G85:H85"/>
    <mergeCell ref="C82:D82"/>
    <mergeCell ref="E82:F82"/>
    <mergeCell ref="G82:H82"/>
    <mergeCell ref="I82:J82"/>
    <mergeCell ref="K82:L82"/>
    <mergeCell ref="M82:N82"/>
  </mergeCells>
  <conditionalFormatting sqref="C9 E9 G9 I9 K9 M9 O9 C13 E13 G13 I13 K13 M13 O13 C17 E17 G17 I17 K17 M17 O17 C21 E21 G21 I21 K21 M21 O21 C25 E25 G25 I25 K25 O25 C29 E29">
    <cfRule type="expression" dxfId="130" priority="106">
      <formula>C9=""</formula>
    </cfRule>
  </conditionalFormatting>
  <conditionalFormatting sqref="C36 G36 I36 K36 M36 O36 C40 E40 G40 I40 K40 M40 O40 C44 E44 G44 I44 K44 M44 O44 C48 E48 G48 I48 K48 M48 O48 C52 E52 G52 I52 K52 M52 O52">
    <cfRule type="expression" dxfId="129" priority="101">
      <formula>C36=""</formula>
    </cfRule>
  </conditionalFormatting>
  <conditionalFormatting sqref="C56 E56">
    <cfRule type="expression" dxfId="128" priority="87">
      <formula>C56=""</formula>
    </cfRule>
  </conditionalFormatting>
  <conditionalFormatting sqref="C63 G63 I63 K63 M63 O63 C67 O67 C71 E71 G71 I71 K71 M71 O71 C75 E75 G75 I75 K75 M75 O75 C79 E79 G79 K79 M79 O79 C83 E83">
    <cfRule type="expression" dxfId="127" priority="97">
      <formula>C63=""</formula>
    </cfRule>
  </conditionalFormatting>
  <conditionalFormatting sqref="C37:D37 G37:P37">
    <cfRule type="expression" dxfId="126" priority="39">
      <formula>C36=""</formula>
    </cfRule>
  </conditionalFormatting>
  <conditionalFormatting sqref="C38:D38 G38:P38">
    <cfRule type="expression" dxfId="125" priority="50">
      <formula>C36=""</formula>
    </cfRule>
  </conditionalFormatting>
  <conditionalFormatting sqref="C39:D39 G39:P39">
    <cfRule type="expression" dxfId="124" priority="27">
      <formula>C36=""</formula>
    </cfRule>
  </conditionalFormatting>
  <conditionalFormatting sqref="C64:D64">
    <cfRule type="expression" dxfId="123" priority="95">
      <formula>C63=""</formula>
    </cfRule>
  </conditionalFormatting>
  <conditionalFormatting sqref="C65:D65">
    <cfRule type="expression" dxfId="122" priority="94">
      <formula>C63=""</formula>
    </cfRule>
  </conditionalFormatting>
  <conditionalFormatting sqref="C66:D66">
    <cfRule type="expression" dxfId="121" priority="26">
      <formula>C63=""</formula>
    </cfRule>
  </conditionalFormatting>
  <conditionalFormatting sqref="C41:E41 G41:P41">
    <cfRule type="expression" dxfId="120" priority="46">
      <formula>C40=""</formula>
    </cfRule>
  </conditionalFormatting>
  <conditionalFormatting sqref="C57:F57">
    <cfRule type="expression" dxfId="119" priority="85">
      <formula>C56=""</formula>
    </cfRule>
  </conditionalFormatting>
  <conditionalFormatting sqref="C58:F58">
    <cfRule type="expression" dxfId="118" priority="84">
      <formula>C56=""</formula>
    </cfRule>
  </conditionalFormatting>
  <conditionalFormatting sqref="C59:F59">
    <cfRule type="expression" dxfId="117" priority="83">
      <formula>C56=""</formula>
    </cfRule>
  </conditionalFormatting>
  <conditionalFormatting sqref="C68:F68">
    <cfRule type="expression" dxfId="116" priority="31">
      <formula>C67=""</formula>
    </cfRule>
  </conditionalFormatting>
  <conditionalFormatting sqref="C72:F72 I72:P72">
    <cfRule type="expression" dxfId="115" priority="65">
      <formula>C71=""</formula>
    </cfRule>
  </conditionalFormatting>
  <conditionalFormatting sqref="C84:H84">
    <cfRule type="expression" dxfId="114" priority="70">
      <formula>C83=""</formula>
    </cfRule>
  </conditionalFormatting>
  <conditionalFormatting sqref="C85:H85">
    <cfRule type="expression" dxfId="113" priority="69">
      <formula>C83=""</formula>
    </cfRule>
  </conditionalFormatting>
  <conditionalFormatting sqref="C86:H86">
    <cfRule type="expression" dxfId="112" priority="64">
      <formula>C83=""</formula>
    </cfRule>
  </conditionalFormatting>
  <conditionalFormatting sqref="C10:P10">
    <cfRule type="expression" dxfId="111" priority="23">
      <formula>C9=""</formula>
    </cfRule>
  </conditionalFormatting>
  <conditionalFormatting sqref="C11:P11">
    <cfRule type="expression" dxfId="110" priority="22">
      <formula>C9=""</formula>
    </cfRule>
  </conditionalFormatting>
  <conditionalFormatting sqref="C12:P12">
    <cfRule type="expression" dxfId="109" priority="21">
      <formula>C9=""</formula>
    </cfRule>
  </conditionalFormatting>
  <conditionalFormatting sqref="C14:P14 C18:P18 C22:F22 I22:P22 C26:L26 O26:P26 C30:F30">
    <cfRule type="expression" dxfId="108" priority="104">
      <formula>C13=""</formula>
    </cfRule>
  </conditionalFormatting>
  <conditionalFormatting sqref="C15:P15 C19:P19 C23:P23 C27:L27 O27:P27 C31:F31">
    <cfRule type="expression" dxfId="107" priority="103">
      <formula>C13=""</formula>
    </cfRule>
  </conditionalFormatting>
  <conditionalFormatting sqref="C16:P16 C20:P20 C24:P24 C28:L28 O28:P28 C32:F32">
    <cfRule type="expression" dxfId="106" priority="102">
      <formula>C13=""</formula>
    </cfRule>
  </conditionalFormatting>
  <conditionalFormatting sqref="C42:P42">
    <cfRule type="expression" dxfId="105" priority="48">
      <formula>C40=""</formula>
    </cfRule>
  </conditionalFormatting>
  <conditionalFormatting sqref="C43:P43">
    <cfRule type="expression" dxfId="104" priority="47">
      <formula>C40=""</formula>
    </cfRule>
  </conditionalFormatting>
  <conditionalFormatting sqref="C45:P45">
    <cfRule type="expression" dxfId="103" priority="66">
      <formula>C44=""</formula>
    </cfRule>
  </conditionalFormatting>
  <conditionalFormatting sqref="C46:P46">
    <cfRule type="expression" dxfId="102" priority="59">
      <formula>C44=""</formula>
    </cfRule>
  </conditionalFormatting>
  <conditionalFormatting sqref="C47:P47">
    <cfRule type="expression" dxfId="101" priority="93">
      <formula>C44=""</formula>
    </cfRule>
  </conditionalFormatting>
  <conditionalFormatting sqref="C49:P49 C53:P53">
    <cfRule type="expression" dxfId="100" priority="99">
      <formula>C48=""</formula>
    </cfRule>
  </conditionalFormatting>
  <conditionalFormatting sqref="C50:P50">
    <cfRule type="expression" dxfId="99" priority="58">
      <formula>C48=""</formula>
    </cfRule>
  </conditionalFormatting>
  <conditionalFormatting sqref="C51:P51">
    <cfRule type="expression" dxfId="98" priority="92">
      <formula>C48=""</formula>
    </cfRule>
  </conditionalFormatting>
  <conditionalFormatting sqref="C54:P54">
    <cfRule type="expression" dxfId="97" priority="71">
      <formula>C52=""</formula>
    </cfRule>
  </conditionalFormatting>
  <conditionalFormatting sqref="C55:P55">
    <cfRule type="expression" dxfId="96" priority="91">
      <formula>C52=""</formula>
    </cfRule>
  </conditionalFormatting>
  <conditionalFormatting sqref="C69:P69">
    <cfRule type="expression" dxfId="95" priority="42">
      <formula>C67=""</formula>
    </cfRule>
  </conditionalFormatting>
  <conditionalFormatting sqref="C70:P70">
    <cfRule type="expression" dxfId="94" priority="43">
      <formula>C67=""</formula>
    </cfRule>
  </conditionalFormatting>
  <conditionalFormatting sqref="C73:P73">
    <cfRule type="expression" dxfId="93" priority="56">
      <formula>C71=""</formula>
    </cfRule>
  </conditionalFormatting>
  <conditionalFormatting sqref="C74:P74">
    <cfRule type="expression" dxfId="92" priority="90">
      <formula>C71=""</formula>
    </cfRule>
  </conditionalFormatting>
  <conditionalFormatting sqref="C76:P76">
    <cfRule type="expression" dxfId="91" priority="2">
      <formula>C75=""</formula>
    </cfRule>
  </conditionalFormatting>
  <conditionalFormatting sqref="C77:P77">
    <cfRule type="expression" dxfId="90" priority="57">
      <formula>C75=""</formula>
    </cfRule>
  </conditionalFormatting>
  <conditionalFormatting sqref="C78:P78">
    <cfRule type="expression" dxfId="89" priority="89">
      <formula>C75=""</formula>
    </cfRule>
  </conditionalFormatting>
  <conditionalFormatting sqref="C80:P80">
    <cfRule type="expression" dxfId="88" priority="1">
      <formula>C79=""</formula>
    </cfRule>
  </conditionalFormatting>
  <conditionalFormatting sqref="C81:P81">
    <cfRule type="expression" dxfId="87" priority="19">
      <formula>C79=""</formula>
    </cfRule>
  </conditionalFormatting>
  <conditionalFormatting sqref="C82:P82">
    <cfRule type="expression" dxfId="86" priority="18">
      <formula>C79=""</formula>
    </cfRule>
  </conditionalFormatting>
  <conditionalFormatting sqref="D9 F9 H9 J9 L9 N9 P9 D13 F13 H13 J13 L13 N13 P13 D17 F17 H17 J17 L17 N17 P17 D21 F21 H21 J21 L21 N21 P21 D25 F25 H25 J25 L25 P25 D29 F29">
    <cfRule type="expression" dxfId="85" priority="105">
      <formula>C9=""</formula>
    </cfRule>
  </conditionalFormatting>
  <conditionalFormatting sqref="D36 P36 D40 P40 D44 F44 H44 J44 L44 N44 P44 D48 F48 H48 J48 L48 N48 P48 D52 F52 H52 J52 P52">
    <cfRule type="expression" dxfId="84" priority="100">
      <formula>C36=""</formula>
    </cfRule>
  </conditionalFormatting>
  <conditionalFormatting sqref="D56 F56">
    <cfRule type="expression" dxfId="83" priority="86">
      <formula>C56=""</formula>
    </cfRule>
  </conditionalFormatting>
  <conditionalFormatting sqref="D63 P63 D67 P67 D71 F71 H71 J71 L71 N71 P71 D75 F75 H75 J75 L75 N75 P75 D79 F79 H79 L79 N79 P79 D83 F83">
    <cfRule type="expression" dxfId="82" priority="96">
      <formula>C63=""</formula>
    </cfRule>
  </conditionalFormatting>
  <conditionalFormatting sqref="E36">
    <cfRule type="expression" dxfId="81" priority="12">
      <formula>E36=""</formula>
    </cfRule>
  </conditionalFormatting>
  <conditionalFormatting sqref="E63">
    <cfRule type="expression" dxfId="80" priority="45">
      <formula>E63=""</formula>
    </cfRule>
  </conditionalFormatting>
  <conditionalFormatting sqref="E67">
    <cfRule type="expression" dxfId="79" priority="37">
      <formula>E67=""</formula>
    </cfRule>
  </conditionalFormatting>
  <conditionalFormatting sqref="E37:F39">
    <cfRule type="expression" dxfId="78" priority="13">
      <formula>E36=""</formula>
    </cfRule>
  </conditionalFormatting>
  <conditionalFormatting sqref="E64:F66">
    <cfRule type="expression" dxfId="77" priority="38">
      <formula>E63=""</formula>
    </cfRule>
  </conditionalFormatting>
  <conditionalFormatting sqref="F36">
    <cfRule type="expression" dxfId="76" priority="11">
      <formula>E36=""</formula>
    </cfRule>
  </conditionalFormatting>
  <conditionalFormatting sqref="F40">
    <cfRule type="expression" dxfId="75" priority="8">
      <formula>E40=""</formula>
    </cfRule>
  </conditionalFormatting>
  <conditionalFormatting sqref="F63">
    <cfRule type="expression" dxfId="74" priority="44">
      <formula>E63=""</formula>
    </cfRule>
  </conditionalFormatting>
  <conditionalFormatting sqref="F67">
    <cfRule type="expression" dxfId="73" priority="36">
      <formula>E67=""</formula>
    </cfRule>
  </conditionalFormatting>
  <conditionalFormatting sqref="G67 I67 K67 M67">
    <cfRule type="expression" dxfId="72" priority="77">
      <formula>G67=""</formula>
    </cfRule>
  </conditionalFormatting>
  <conditionalFormatting sqref="G83">
    <cfRule type="expression" dxfId="71" priority="88">
      <formula>G83=""</formula>
    </cfRule>
  </conditionalFormatting>
  <conditionalFormatting sqref="G68:H68">
    <cfRule type="expression" dxfId="70" priority="28">
      <formula>G64=""</formula>
    </cfRule>
  </conditionalFormatting>
  <conditionalFormatting sqref="G72:H72">
    <cfRule type="expression" dxfId="69" priority="30">
      <formula>G68=""</formula>
    </cfRule>
  </conditionalFormatting>
  <conditionalFormatting sqref="G64:P64">
    <cfRule type="expression" dxfId="68" priority="29">
      <formula>G63=""</formula>
    </cfRule>
  </conditionalFormatting>
  <conditionalFormatting sqref="G65:P65">
    <cfRule type="expression" dxfId="67" priority="40">
      <formula>G63=""</formula>
    </cfRule>
  </conditionalFormatting>
  <conditionalFormatting sqref="G66:P66">
    <cfRule type="expression" dxfId="66" priority="41">
      <formula>G63=""</formula>
    </cfRule>
  </conditionalFormatting>
  <conditionalFormatting sqref="H36">
    <cfRule type="expression" dxfId="65" priority="55">
      <formula>G36=""</formula>
    </cfRule>
  </conditionalFormatting>
  <conditionalFormatting sqref="H40">
    <cfRule type="expression" dxfId="64" priority="7">
      <formula>G40=""</formula>
    </cfRule>
  </conditionalFormatting>
  <conditionalFormatting sqref="H63">
    <cfRule type="expression" dxfId="63" priority="35">
      <formula>G63=""</formula>
    </cfRule>
  </conditionalFormatting>
  <conditionalFormatting sqref="H67">
    <cfRule type="expression" dxfId="62" priority="76">
      <formula>G67=""</formula>
    </cfRule>
  </conditionalFormatting>
  <conditionalFormatting sqref="H83">
    <cfRule type="expression" dxfId="61" priority="72">
      <formula>G83=""</formula>
    </cfRule>
  </conditionalFormatting>
  <conditionalFormatting sqref="I79">
    <cfRule type="expression" dxfId="60" priority="25">
      <formula>I79=""</formula>
    </cfRule>
  </conditionalFormatting>
  <conditionalFormatting sqref="I68:P68">
    <cfRule type="expression" dxfId="59" priority="63">
      <formula>I67=""</formula>
    </cfRule>
  </conditionalFormatting>
  <conditionalFormatting sqref="J36">
    <cfRule type="expression" dxfId="58" priority="10">
      <formula>I36=""</formula>
    </cfRule>
  </conditionalFormatting>
  <conditionalFormatting sqref="J40">
    <cfRule type="expression" dxfId="57" priority="6">
      <formula>I40=""</formula>
    </cfRule>
  </conditionalFormatting>
  <conditionalFormatting sqref="J63">
    <cfRule type="expression" dxfId="56" priority="34">
      <formula>I63=""</formula>
    </cfRule>
  </conditionalFormatting>
  <conditionalFormatting sqref="J67">
    <cfRule type="expression" dxfId="55" priority="75">
      <formula>I67=""</formula>
    </cfRule>
  </conditionalFormatting>
  <conditionalFormatting sqref="J79">
    <cfRule type="expression" dxfId="54" priority="24">
      <formula>I79=""</formula>
    </cfRule>
  </conditionalFormatting>
  <conditionalFormatting sqref="L36">
    <cfRule type="expression" dxfId="53" priority="9">
      <formula>K36=""</formula>
    </cfRule>
  </conditionalFormatting>
  <conditionalFormatting sqref="L40">
    <cfRule type="expression" dxfId="52" priority="79">
      <formula>K40=""</formula>
    </cfRule>
  </conditionalFormatting>
  <conditionalFormatting sqref="L52">
    <cfRule type="expression" dxfId="51" priority="68">
      <formula>K52=""</formula>
    </cfRule>
  </conditionalFormatting>
  <conditionalFormatting sqref="L63">
    <cfRule type="expression" dxfId="50" priority="33">
      <formula>K63=""</formula>
    </cfRule>
  </conditionalFormatting>
  <conditionalFormatting sqref="L67">
    <cfRule type="expression" dxfId="49" priority="74">
      <formula>K67=""</formula>
    </cfRule>
  </conditionalFormatting>
  <conditionalFormatting sqref="M25">
    <cfRule type="expression" dxfId="48" priority="17">
      <formula>M25=""</formula>
    </cfRule>
  </conditionalFormatting>
  <conditionalFormatting sqref="M26:N28">
    <cfRule type="expression" dxfId="47" priority="14">
      <formula>M25=""</formula>
    </cfRule>
  </conditionalFormatting>
  <conditionalFormatting sqref="N25">
    <cfRule type="expression" dxfId="46" priority="16">
      <formula>M25=""</formula>
    </cfRule>
  </conditionalFormatting>
  <conditionalFormatting sqref="N36">
    <cfRule type="expression" dxfId="45" priority="52">
      <formula>M36=""</formula>
    </cfRule>
  </conditionalFormatting>
  <conditionalFormatting sqref="N40">
    <cfRule type="expression" dxfId="44" priority="5">
      <formula>M40=""</formula>
    </cfRule>
  </conditionalFormatting>
  <conditionalFormatting sqref="N52">
    <cfRule type="expression" dxfId="43" priority="67">
      <formula>M52=""</formula>
    </cfRule>
  </conditionalFormatting>
  <conditionalFormatting sqref="N63">
    <cfRule type="expression" dxfId="42" priority="32">
      <formula>M63=""</formula>
    </cfRule>
  </conditionalFormatting>
  <conditionalFormatting sqref="N67">
    <cfRule type="expression" dxfId="41" priority="73">
      <formula>M67=""</formula>
    </cfRule>
  </conditionalFormatting>
  <hyperlinks>
    <hyperlink ref="P3" r:id="rId1" display="https://www.vertex42.com/calendars/quarterly-calendar.html" xr:uid="{5F10873B-0129-4924-85B8-A2AFA6633A6F}"/>
  </hyperlinks>
  <printOptions horizontalCentered="1"/>
  <pageMargins left="0.35" right="0.35" top="0.25" bottom="0.4" header="0.25" footer="0.25"/>
  <pageSetup scale="7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17286-40FA-45BD-ABBE-23047D1B657A}">
  <sheetPr>
    <pageSetUpPr fitToPage="1"/>
  </sheetPr>
  <dimension ref="A1:R102"/>
  <sheetViews>
    <sheetView showGridLines="0" tabSelected="1" topLeftCell="A4" zoomScale="70" zoomScaleNormal="70" workbookViewId="0">
      <selection activeCell="X50" sqref="X50"/>
    </sheetView>
  </sheetViews>
  <sheetFormatPr defaultColWidth="8.88671875" defaultRowHeight="13.2" outlineLevelRow="1" x14ac:dyDescent="0.25"/>
  <cols>
    <col min="2" max="2" width="2.5546875" customWidth="1"/>
    <col min="3" max="3" width="4.33203125" customWidth="1"/>
    <col min="4" max="4" width="12.33203125" customWidth="1"/>
    <col min="5" max="5" width="4.33203125" customWidth="1"/>
    <col min="6" max="6" width="12.33203125" customWidth="1"/>
    <col min="7" max="7" width="4.33203125" customWidth="1"/>
    <col min="8" max="8" width="12.33203125" customWidth="1"/>
    <col min="9" max="9" width="4.33203125" customWidth="1"/>
    <col min="10" max="10" width="12.33203125" customWidth="1"/>
    <col min="11" max="11" width="4.33203125" customWidth="1"/>
    <col min="12" max="12" width="12.33203125" customWidth="1"/>
    <col min="13" max="13" width="4.33203125" customWidth="1"/>
    <col min="14" max="14" width="12.33203125" customWidth="1"/>
    <col min="15" max="15" width="4.33203125" customWidth="1"/>
    <col min="16" max="16" width="12.33203125" customWidth="1"/>
    <col min="17" max="17" width="3.5546875" customWidth="1"/>
    <col min="18" max="18" width="8.88671875" style="100"/>
  </cols>
  <sheetData>
    <row r="1" spans="1:18" ht="11.4" hidden="1" customHeight="1" outlineLevel="1" x14ac:dyDescent="0.25">
      <c r="C1" s="130" t="s">
        <v>88</v>
      </c>
      <c r="D1" s="45"/>
      <c r="E1" s="45"/>
      <c r="F1" s="4"/>
      <c r="G1" s="4"/>
      <c r="H1" s="45"/>
      <c r="I1" s="45"/>
      <c r="J1" s="45"/>
      <c r="K1" s="45"/>
      <c r="L1" s="4"/>
      <c r="M1" s="46"/>
      <c r="N1" s="4"/>
      <c r="O1" s="47"/>
      <c r="P1" s="42"/>
      <c r="R1" s="134"/>
    </row>
    <row r="2" spans="1:18" ht="15" hidden="1" customHeight="1" outlineLevel="1" x14ac:dyDescent="0.25">
      <c r="C2" s="10" t="s">
        <v>11</v>
      </c>
      <c r="D2" s="11">
        <v>2026</v>
      </c>
      <c r="E2" s="4"/>
      <c r="F2" s="4"/>
      <c r="G2" s="43" t="s">
        <v>86</v>
      </c>
      <c r="H2" s="11">
        <v>7</v>
      </c>
      <c r="I2" s="10"/>
      <c r="J2" s="10"/>
      <c r="K2" s="43" t="s">
        <v>87</v>
      </c>
      <c r="L2" s="11">
        <v>1</v>
      </c>
      <c r="M2" s="12" t="s">
        <v>0</v>
      </c>
      <c r="N2" s="12"/>
      <c r="O2" s="13"/>
      <c r="P2" s="14" t="s">
        <v>77</v>
      </c>
      <c r="R2" s="134"/>
    </row>
    <row r="3" spans="1:18" ht="13.2" hidden="1" customHeight="1" outlineLevel="1" x14ac:dyDescent="0.25">
      <c r="C3" s="4"/>
      <c r="D3" s="4"/>
      <c r="E3" s="4"/>
      <c r="F3" s="4"/>
      <c r="G3" s="4"/>
      <c r="H3" s="4"/>
      <c r="I3" s="4"/>
      <c r="J3" s="4"/>
      <c r="K3" s="4"/>
      <c r="L3" s="4"/>
      <c r="M3" s="4"/>
      <c r="N3" s="4"/>
      <c r="O3" s="4"/>
      <c r="P3" s="49" t="s">
        <v>91</v>
      </c>
      <c r="R3" s="134"/>
    </row>
    <row r="4" spans="1:18" ht="13.2" customHeight="1" collapsed="1" x14ac:dyDescent="0.25"/>
    <row r="5" spans="1:18" ht="18" customHeight="1" x14ac:dyDescent="0.25">
      <c r="C5" s="131" t="s">
        <v>193</v>
      </c>
      <c r="I5" s="142">
        <f>D7</f>
        <v>46204</v>
      </c>
      <c r="J5" s="142"/>
      <c r="K5" s="142"/>
      <c r="L5" s="142"/>
      <c r="M5" s="142"/>
      <c r="N5" s="142"/>
      <c r="O5" s="142"/>
      <c r="P5" s="142"/>
      <c r="R5" s="134"/>
    </row>
    <row r="6" spans="1:18" ht="13.2" customHeight="1" x14ac:dyDescent="0.25">
      <c r="D6" s="57"/>
      <c r="E6" s="57"/>
      <c r="F6" s="57"/>
      <c r="G6" s="57"/>
      <c r="H6" s="57"/>
      <c r="I6" s="142"/>
      <c r="J6" s="142"/>
      <c r="K6" s="142"/>
      <c r="L6" s="142"/>
      <c r="M6" s="142"/>
      <c r="N6" s="142"/>
      <c r="O6" s="142"/>
      <c r="P6" s="142"/>
    </row>
    <row r="7" spans="1:18" s="1" customFormat="1" ht="10.199999999999999" hidden="1" outlineLevel="1" x14ac:dyDescent="0.2">
      <c r="C7" s="1" t="s">
        <v>1</v>
      </c>
      <c r="D7" s="6">
        <f>DATE(2026,7,1)</f>
        <v>46204</v>
      </c>
      <c r="R7" s="101"/>
    </row>
    <row r="8" spans="1:18" s="2" customFormat="1" ht="18" customHeight="1" collapsed="1" x14ac:dyDescent="0.25">
      <c r="A8" s="143">
        <f>D7</f>
        <v>46204</v>
      </c>
      <c r="C8" s="144" t="s">
        <v>109</v>
      </c>
      <c r="D8" s="145"/>
      <c r="E8" s="144" t="s">
        <v>110</v>
      </c>
      <c r="F8" s="145"/>
      <c r="G8" s="144" t="s">
        <v>111</v>
      </c>
      <c r="H8" s="145"/>
      <c r="I8" s="144" t="s">
        <v>112</v>
      </c>
      <c r="J8" s="145"/>
      <c r="K8" s="144" t="s">
        <v>113</v>
      </c>
      <c r="L8" s="145"/>
      <c r="M8" s="144" t="s">
        <v>114</v>
      </c>
      <c r="N8" s="145"/>
      <c r="O8" s="144" t="s">
        <v>115</v>
      </c>
      <c r="P8" s="145"/>
      <c r="R8" s="96" t="s">
        <v>132</v>
      </c>
    </row>
    <row r="9" spans="1:18" s="2" customFormat="1" x14ac:dyDescent="0.25">
      <c r="A9" s="143"/>
      <c r="C9" s="50" t="str">
        <f>IF(WEEKDAY($D$7,1)=startday,$D$7,"")</f>
        <v/>
      </c>
      <c r="D9" s="52" t="str">
        <f>IFERROR(INDEX(Events!$A:$A,MATCH(C9,Events!$G:$G,0)),"")</f>
        <v/>
      </c>
      <c r="E9" s="50" t="str">
        <f>IF(C9="",IF(WEEKDAY($D$7,1)=MOD(startday,7)+1,$D$7,""),C9+1)</f>
        <v/>
      </c>
      <c r="F9" s="52" t="str">
        <f>IFERROR(INDEX(Events!$A:$A,MATCH(E9,Events!$G:$G,0)),"")</f>
        <v/>
      </c>
      <c r="G9" s="127" t="str">
        <f>IF(E9="",IF(WEEKDAY($D$7,1)=MOD(startday+1,7)+1,$D$7,""),E9+1)</f>
        <v/>
      </c>
      <c r="H9" s="128"/>
      <c r="I9" s="127">
        <f>IF(G9="",IF(WEEKDAY($D$7,1)=MOD(startday+2,7)+1,$D$7,""),G9+1)</f>
        <v>46204</v>
      </c>
      <c r="J9" s="128" t="s">
        <v>141</v>
      </c>
      <c r="K9" s="50">
        <f>IF(I9="",IF(WEEKDAY($D$7,1)=MOD(startday+3,7)+1,$D$7,""),I9+1)</f>
        <v>46205</v>
      </c>
      <c r="L9" s="97" t="s">
        <v>142</v>
      </c>
      <c r="M9" s="50">
        <f>IF(K9="",IF(WEEKDAY($D$7,1)=MOD(startday+4,7)+1,$D$7,""),K9+1)</f>
        <v>46206</v>
      </c>
      <c r="N9" s="97" t="s">
        <v>143</v>
      </c>
      <c r="O9" s="50">
        <f>IF(M9="",IF(WEEKDAY($D$7,1)=MOD(startday+5,7)+1,$D$7,""),M9+1)</f>
        <v>46207</v>
      </c>
      <c r="P9" s="52"/>
      <c r="R9" s="150" t="s">
        <v>124</v>
      </c>
    </row>
    <row r="10" spans="1:18" s="2" customFormat="1" x14ac:dyDescent="0.25">
      <c r="A10" s="143"/>
      <c r="C10" s="104"/>
      <c r="D10" s="105"/>
      <c r="E10" s="104"/>
      <c r="F10" s="105"/>
      <c r="G10" s="104"/>
      <c r="H10" s="105"/>
      <c r="I10" s="151" t="s">
        <v>116</v>
      </c>
      <c r="J10" s="152" t="str">
        <f>IFERROR(INDEX(Events!#REF!,MATCH(I10,Events!G:G,0)),"")</f>
        <v/>
      </c>
      <c r="K10" s="153" t="s">
        <v>176</v>
      </c>
      <c r="L10" s="154"/>
      <c r="M10" s="153" t="s">
        <v>176</v>
      </c>
      <c r="N10" s="154"/>
      <c r="O10" s="146" t="str">
        <f ca="1">IFERROR(INDEX(Events!$A:$A,MATCH(O8,Events!$H:$H,0)),"")</f>
        <v/>
      </c>
      <c r="P10" s="147" t="str">
        <f ca="1">IFERROR(INDEX(Events!G:G,MATCH(O10,Events!K:K,0)),"")</f>
        <v/>
      </c>
      <c r="R10" s="150"/>
    </row>
    <row r="11" spans="1:18" s="53" customFormat="1" ht="10.199999999999999" x14ac:dyDescent="0.25">
      <c r="A11" s="143"/>
      <c r="C11" s="146" t="str">
        <f ca="1">IFERROR(INDEX(Events!$A:$A,MATCH(C9,Events!$H:$H,0)),"")</f>
        <v/>
      </c>
      <c r="D11" s="147" t="str">
        <f ca="1">IFERROR(INDEX(Events!#REF!,MATCH(C11,Events!A:A,0)),"")</f>
        <v/>
      </c>
      <c r="E11" s="146" t="str">
        <f ca="1">IFERROR(INDEX(Events!$A:$A,MATCH(E9,Events!$H:$H,0)),"")</f>
        <v/>
      </c>
      <c r="F11" s="147" t="str">
        <f ca="1">IFERROR(INDEX(Events!#REF!,MATCH(E11,Events!C:C,0)),"")</f>
        <v/>
      </c>
      <c r="G11" s="146" t="str">
        <f ca="1">IFERROR(INDEX(Events!$A:$A,MATCH(G9,Events!$H:$H,0)),"")</f>
        <v/>
      </c>
      <c r="H11" s="147" t="str">
        <f ca="1">IFERROR(INDEX(Events!#REF!,MATCH(G11,Events!E:E,0)),"")</f>
        <v/>
      </c>
      <c r="I11" s="148" t="s">
        <v>177</v>
      </c>
      <c r="J11" s="149"/>
      <c r="K11" s="146" t="str">
        <f ca="1">IFERROR(INDEX(Events!$A:$A,MATCH(K9,Events!$H:$H,0)),"")</f>
        <v/>
      </c>
      <c r="L11" s="147" t="str">
        <f ca="1">IFERROR(INDEX(Events!C:C,MATCH(K11,Events!I:I,0)),"")</f>
        <v/>
      </c>
      <c r="M11" s="146" t="str">
        <f ca="1">IFERROR(INDEX(Events!$A:$A,MATCH(M9,Events!$H:$H,0)),"")</f>
        <v/>
      </c>
      <c r="N11" s="147" t="str">
        <f ca="1">IFERROR(INDEX(Events!E:E,MATCH(M11,Events!#REF!,0)),"")</f>
        <v/>
      </c>
      <c r="O11" s="146" t="str">
        <f ca="1">IFERROR(INDEX(Events!$A:$A,MATCH(O9,Events!$H:$H,0)),"")</f>
        <v/>
      </c>
      <c r="P11" s="147" t="str">
        <f ca="1">IFERROR(INDEX(Events!G:G,MATCH(O11,Events!K:K,0)),"")</f>
        <v/>
      </c>
      <c r="R11" s="150"/>
    </row>
    <row r="12" spans="1:18" s="53" customFormat="1" ht="10.199999999999999" x14ac:dyDescent="0.25">
      <c r="A12" s="143"/>
      <c r="C12" s="146" t="str">
        <f ca="1">IFERROR(INDEX(Events!$A:$A,MATCH(C9,Events!$I:$I,0)),"")</f>
        <v/>
      </c>
      <c r="D12" s="147"/>
      <c r="E12" s="146" t="str">
        <f ca="1">IFERROR(INDEX(Events!$A:$A,MATCH(E9,Events!$I:$I,0)),"")</f>
        <v/>
      </c>
      <c r="F12" s="147"/>
      <c r="G12" s="146" t="str">
        <f ca="1">IFERROR(INDEX(Events!$A:$A,MATCH(G9,Events!$I:$I,0)),"")</f>
        <v/>
      </c>
      <c r="H12" s="147"/>
      <c r="I12" s="151"/>
      <c r="J12" s="152"/>
      <c r="K12" s="146" t="str">
        <f ca="1">IFERROR(INDEX(Events!$A:$A,MATCH(K9,Events!$I:$I,0)),"")</f>
        <v/>
      </c>
      <c r="L12" s="147"/>
      <c r="M12" s="146" t="str">
        <f ca="1">IFERROR(INDEX(Events!$A:$A,MATCH(M9,Events!$I:$I,0)),"")</f>
        <v/>
      </c>
      <c r="N12" s="147"/>
      <c r="O12" s="146" t="str">
        <f ca="1">IFERROR(INDEX(Events!$A:$A,MATCH(O9,Events!$I:$I,0)),"")</f>
        <v/>
      </c>
      <c r="P12" s="147"/>
      <c r="R12" s="150"/>
    </row>
    <row r="13" spans="1:18" s="53" customFormat="1" ht="10.199999999999999" x14ac:dyDescent="0.25">
      <c r="A13" s="143"/>
      <c r="C13" s="146" t="str">
        <f ca="1">IFERROR(INDEX(Events!$A:$A,MATCH(C9,Events!$J:$J,0)),"")</f>
        <v/>
      </c>
      <c r="D13" s="147"/>
      <c r="E13" s="146" t="str">
        <f ca="1">IFERROR(INDEX(Events!$A:$A,MATCH(E9,Events!$J:$J,0)),"")</f>
        <v/>
      </c>
      <c r="F13" s="147"/>
      <c r="G13" s="146" t="str">
        <f ca="1">IFERROR(INDEX(Events!$A:$A,MATCH(G9,Events!$J:$J,0)),"")</f>
        <v/>
      </c>
      <c r="H13" s="147"/>
      <c r="I13" s="151" t="s">
        <v>123</v>
      </c>
      <c r="J13" s="152"/>
      <c r="K13" s="146" t="str">
        <f ca="1">IFERROR(INDEX(Events!$A:$A,MATCH(K9,Events!$J:$J,0)),"")</f>
        <v/>
      </c>
      <c r="L13" s="147"/>
      <c r="M13" s="146" t="str">
        <f ca="1">IFERROR(INDEX(Events!$A:$A,MATCH(M9,Events!$J:$J,0)),"")</f>
        <v/>
      </c>
      <c r="N13" s="147"/>
      <c r="O13" s="146" t="str">
        <f ca="1">IFERROR(INDEX(Events!$A:$A,MATCH(O9,Events!$J:$J,0)),"")</f>
        <v/>
      </c>
      <c r="P13" s="147"/>
      <c r="R13" s="150"/>
    </row>
    <row r="14" spans="1:18" s="2" customFormat="1" x14ac:dyDescent="0.25">
      <c r="A14" s="143"/>
      <c r="C14" s="50">
        <f>IF(O9="","",IF(MONTH(O9+1)&lt;&gt;MONTH(O9),"",O9+1))</f>
        <v>46208</v>
      </c>
      <c r="D14" s="52" t="str">
        <f>IFERROR(INDEX(Events!$A:$A,MATCH(C14,Events!$G:$G,0)),"")</f>
        <v/>
      </c>
      <c r="E14" s="50">
        <f>IF(C14="","",IF(MONTH(C14+1)&lt;&gt;MONTH(C14),"",C14+1))</f>
        <v>46209</v>
      </c>
      <c r="F14" s="97" t="s">
        <v>144</v>
      </c>
      <c r="G14" s="50">
        <f>IF(E14="","",IF(MONTH(E14+1)&lt;&gt;MONTH(E14),"",E14+1))</f>
        <v>46210</v>
      </c>
      <c r="H14" s="97" t="s">
        <v>145</v>
      </c>
      <c r="I14" s="50">
        <f>IF(G14="","",IF(MONTH(G14+1)&lt;&gt;MONTH(G14),"",G14+1))</f>
        <v>46211</v>
      </c>
      <c r="J14" s="119" t="s">
        <v>146</v>
      </c>
      <c r="K14" s="115">
        <f>IF(I14="","",IF(MONTH(I14+1)&lt;&gt;MONTH(I14),"",I14+1))</f>
        <v>46212</v>
      </c>
      <c r="L14" s="120" t="s">
        <v>147</v>
      </c>
      <c r="M14" s="114">
        <f>IF(K14="","",IF(MONTH(K14+1)&lt;&gt;MONTH(K14),"",K14+1))</f>
        <v>46213</v>
      </c>
      <c r="N14" s="97" t="s">
        <v>151</v>
      </c>
      <c r="O14" s="50">
        <f>IF(M14="","",IF(MONTH(M14+1)&lt;&gt;MONTH(M14),"",M14+1))</f>
        <v>46214</v>
      </c>
      <c r="P14" s="52" t="str">
        <f>IFERROR(INDEX(Events!$A:$A,MATCH(O14,Events!$G:$G,0)),"")</f>
        <v/>
      </c>
      <c r="R14" s="150" t="s">
        <v>125</v>
      </c>
    </row>
    <row r="15" spans="1:18" s="2" customFormat="1" x14ac:dyDescent="0.25">
      <c r="A15" s="143"/>
      <c r="C15" s="146" t="str">
        <f ca="1">IFERROR(INDEX(Events!$A:$A,MATCH(C13,Events!$I:$I,0)),"")</f>
        <v/>
      </c>
      <c r="D15" s="147"/>
      <c r="E15" s="153" t="s">
        <v>176</v>
      </c>
      <c r="F15" s="154"/>
      <c r="G15" s="153" t="s">
        <v>176</v>
      </c>
      <c r="H15" s="154"/>
      <c r="I15" s="155" t="s">
        <v>177</v>
      </c>
      <c r="J15" s="155"/>
      <c r="K15" s="156" t="s">
        <v>177</v>
      </c>
      <c r="L15" s="157"/>
      <c r="M15" s="155" t="s">
        <v>177</v>
      </c>
      <c r="N15" s="155"/>
      <c r="O15" s="146" t="str">
        <f ca="1">IFERROR(INDEX(Events!$A:$A,MATCH(O14,Events!$H:$H,0)),"")</f>
        <v/>
      </c>
      <c r="P15" s="147"/>
      <c r="R15" s="150"/>
    </row>
    <row r="16" spans="1:18" s="53" customFormat="1" ht="10.199999999999999" x14ac:dyDescent="0.25">
      <c r="A16" s="143"/>
      <c r="C16" s="146" t="str">
        <f ca="1">IFERROR(INDEX(Events!$A:$A,MATCH(C14,Events!$I:$I,0)),"")</f>
        <v/>
      </c>
      <c r="D16" s="147"/>
      <c r="E16" s="146" t="str">
        <f ca="1">IFERROR(INDEX(Events!$A:$A,MATCH(E14,Events!$I:$I,0)),"")</f>
        <v/>
      </c>
      <c r="F16" s="147"/>
      <c r="G16" s="146" t="str">
        <f ca="1">IFERROR(INDEX(Events!$A:$A,MATCH(G14,Events!$H:$H,0)),"")</f>
        <v/>
      </c>
      <c r="H16" s="147" t="str">
        <f ca="1">IFERROR(INDEX(Events!#REF!,MATCH(G16,Events!E:E,0)),"")</f>
        <v/>
      </c>
      <c r="I16" s="158" t="s">
        <v>117</v>
      </c>
      <c r="J16" s="159" t="str">
        <f>IFERROR(INDEX(Events!#REF!,MATCH(I16,Events!G:G,0)),"")</f>
        <v/>
      </c>
      <c r="K16" s="160" t="s">
        <v>121</v>
      </c>
      <c r="L16" s="161"/>
      <c r="M16" s="162" t="s">
        <v>121</v>
      </c>
      <c r="N16" s="162"/>
      <c r="O16" s="146" t="str">
        <f ca="1">IFERROR(INDEX(Events!$A:$A,MATCH(O14,Events!$H:$H,0)),"")</f>
        <v/>
      </c>
      <c r="P16" s="147" t="str">
        <f ca="1">IFERROR(INDEX(Events!G:G,MATCH(O16,Events!K:K,0)),"")</f>
        <v/>
      </c>
      <c r="R16" s="150"/>
    </row>
    <row r="17" spans="1:18" s="53" customFormat="1" ht="10.199999999999999" x14ac:dyDescent="0.25">
      <c r="A17" s="143"/>
      <c r="C17" s="146" t="str">
        <f ca="1">IFERROR(INDEX(Events!$A:$A,MATCH(C15,Events!$I:$I,0)),"")</f>
        <v/>
      </c>
      <c r="D17" s="147"/>
      <c r="E17" s="146" t="str">
        <f ca="1">IFERROR(INDEX(Events!$A:$A,MATCH(E15,Events!$I:$I,0)),"")</f>
        <v/>
      </c>
      <c r="F17" s="147"/>
      <c r="G17" s="146" t="str">
        <f ca="1">IFERROR(INDEX(Events!$A:$A,MATCH(G15,Events!$I:$I,0)),"")</f>
        <v/>
      </c>
      <c r="H17" s="147"/>
      <c r="I17" s="158" t="s">
        <v>118</v>
      </c>
      <c r="J17" s="159"/>
      <c r="K17" s="163" t="s">
        <v>120</v>
      </c>
      <c r="L17" s="164"/>
      <c r="M17" s="165" t="s">
        <v>120</v>
      </c>
      <c r="N17" s="165"/>
      <c r="O17" s="146" t="str">
        <f ca="1">IFERROR(INDEX(Events!$A:$A,MATCH(O14,Events!$I:$I,0)),"")</f>
        <v/>
      </c>
      <c r="P17" s="147"/>
      <c r="R17" s="150"/>
    </row>
    <row r="18" spans="1:18" s="53" customFormat="1" ht="10.199999999999999" x14ac:dyDescent="0.25">
      <c r="A18" s="143"/>
      <c r="C18" s="146" t="str">
        <f ca="1">IFERROR(INDEX(Events!$A:$A,MATCH(C14,Events!$J:$J,0)),"")</f>
        <v/>
      </c>
      <c r="D18" s="147"/>
      <c r="E18" s="146" t="str">
        <f ca="1">IFERROR(INDEX(Events!$A:$A,MATCH(E14,Events!$J:$J,0)),"")</f>
        <v/>
      </c>
      <c r="F18" s="147"/>
      <c r="G18" s="146" t="str">
        <f ca="1">IFERROR(INDEX(Events!$A:$A,MATCH(G14,Events!$J:$J,0)),"")</f>
        <v/>
      </c>
      <c r="H18" s="147"/>
      <c r="I18" s="146" t="str">
        <f ca="1">IFERROR(INDEX(Events!$A:$A,MATCH(I14,Events!$J:$J,0)),"")</f>
        <v/>
      </c>
      <c r="J18" s="165"/>
      <c r="K18" s="166" t="s">
        <v>119</v>
      </c>
      <c r="L18" s="167" t="str">
        <f>IFERROR(INDEX([1]Events!C:C,MATCH(K18,[1]Events!#REF!,0)),"")</f>
        <v/>
      </c>
      <c r="M18" s="146" t="str">
        <f ca="1">IFERROR(INDEX(Events!$A:$A,MATCH(M14,Events!$J:$J,0)),"")</f>
        <v/>
      </c>
      <c r="N18" s="147"/>
      <c r="O18" s="146" t="str">
        <f ca="1">IFERROR(INDEX(Events!$A:$A,MATCH(O14,Events!$J:$J,0)),"")</f>
        <v/>
      </c>
      <c r="P18" s="147"/>
      <c r="R18" s="150"/>
    </row>
    <row r="19" spans="1:18" s="2" customFormat="1" x14ac:dyDescent="0.25">
      <c r="A19" s="143"/>
      <c r="C19" s="50">
        <f>IF(O14="","",IF(MONTH(O14+1)&lt;&gt;MONTH(O14),"",O14+1))</f>
        <v>46215</v>
      </c>
      <c r="D19" s="52" t="str">
        <f>IFERROR(INDEX(Events!$A:$A,MATCH(C19,Events!$G:$G,0)),"")</f>
        <v/>
      </c>
      <c r="E19" s="50">
        <f>IF(C19="","",IF(MONTH(C19+1)&lt;&gt;MONTH(C19),"",C19+1))</f>
        <v>46216</v>
      </c>
      <c r="F19" s="52" t="str">
        <f>IFERROR(INDEX(Events!$A:$A,MATCH(E19,Events!$G:$G,0)),"")</f>
        <v/>
      </c>
      <c r="G19" s="50">
        <f>IF(E19="","",IF(MONTH(E19+1)&lt;&gt;MONTH(E19),"",E19+1))</f>
        <v>46217</v>
      </c>
      <c r="H19" s="52" t="str">
        <f>IFERROR(INDEX(Events!$A:$A,MATCH(G19,Events!$G:$G,0)),"")</f>
        <v/>
      </c>
      <c r="I19" s="50">
        <f>IF(G19="","",IF(MONTH(G19+1)&lt;&gt;MONTH(G19),"",G19+1))</f>
        <v>46218</v>
      </c>
      <c r="J19" s="52" t="str">
        <f>IFERROR(INDEX(Events!$A:$A,MATCH(I19,Events!$G:$G,0)),"")</f>
        <v/>
      </c>
      <c r="K19" s="50">
        <f>IF(I19="","",IF(MONTH(I19+1)&lt;&gt;MONTH(I19),"",I19+1))</f>
        <v>46219</v>
      </c>
      <c r="L19" s="121" t="str">
        <f>IFERROR(INDEX(Events!$A:$A,MATCH(K19,Events!$G:$G,0)),"")</f>
        <v/>
      </c>
      <c r="M19" s="122">
        <f>IF(K19="","",IF(MONTH(K19+1)&lt;&gt;MONTH(K19),"",K19+1))</f>
        <v>46220</v>
      </c>
      <c r="N19" s="52" t="str">
        <f>IFERROR(INDEX(Events!$A:$A,MATCH(M19,Events!$G:$G,0)),"")</f>
        <v/>
      </c>
      <c r="O19" s="50">
        <f>IF(M19="","",IF(MONTH(M19+1)&lt;&gt;MONTH(M19),"",M19+1))</f>
        <v>46221</v>
      </c>
      <c r="P19" s="52" t="str">
        <f>IFERROR(INDEX(Events!$A:$A,MATCH(O19,Events!$G:$G,0)),"")</f>
        <v/>
      </c>
      <c r="R19" s="150" t="s">
        <v>126</v>
      </c>
    </row>
    <row r="20" spans="1:18" s="2" customFormat="1" x14ac:dyDescent="0.25">
      <c r="A20" s="143"/>
      <c r="C20" s="168"/>
      <c r="D20" s="169"/>
      <c r="E20" s="156" t="s">
        <v>177</v>
      </c>
      <c r="F20" s="157"/>
      <c r="G20" s="155" t="s">
        <v>177</v>
      </c>
      <c r="H20" s="155"/>
      <c r="I20" s="156" t="s">
        <v>177</v>
      </c>
      <c r="J20" s="157"/>
      <c r="K20" s="155" t="s">
        <v>177</v>
      </c>
      <c r="L20" s="155"/>
      <c r="M20" s="156" t="s">
        <v>177</v>
      </c>
      <c r="N20" s="170"/>
      <c r="O20" s="146" t="str">
        <f ca="1">IFERROR(INDEX(Events!$A:$A,MATCH(O19,Events!$H:$H,0)),"")</f>
        <v/>
      </c>
      <c r="P20" s="147"/>
      <c r="R20" s="150"/>
    </row>
    <row r="21" spans="1:18" s="53" customFormat="1" ht="10.199999999999999" x14ac:dyDescent="0.25">
      <c r="A21" s="143"/>
      <c r="C21" s="171"/>
      <c r="D21" s="172"/>
      <c r="E21" s="160" t="s">
        <v>121</v>
      </c>
      <c r="F21" s="161"/>
      <c r="G21" s="162" t="s">
        <v>121</v>
      </c>
      <c r="H21" s="162"/>
      <c r="I21" s="160" t="s">
        <v>121</v>
      </c>
      <c r="J21" s="161"/>
      <c r="K21" s="162" t="s">
        <v>121</v>
      </c>
      <c r="L21" s="162"/>
      <c r="M21" s="160" t="s">
        <v>121</v>
      </c>
      <c r="N21" s="173"/>
      <c r="O21" s="146" t="str">
        <f ca="1">IFERROR(INDEX(Events!$A:$A,MATCH(O19,Events!$H:$H,0)),"")</f>
        <v/>
      </c>
      <c r="P21" s="147" t="str">
        <f ca="1">IFERROR(INDEX(Events!G:G,MATCH(O21,Events!K:K,0)),"")</f>
        <v/>
      </c>
      <c r="R21" s="150"/>
    </row>
    <row r="22" spans="1:18" s="53" customFormat="1" ht="10.199999999999999" x14ac:dyDescent="0.25">
      <c r="A22" s="143"/>
      <c r="C22" s="171"/>
      <c r="D22" s="172"/>
      <c r="E22" s="163" t="s">
        <v>120</v>
      </c>
      <c r="F22" s="164"/>
      <c r="G22" s="165" t="s">
        <v>120</v>
      </c>
      <c r="H22" s="165"/>
      <c r="I22" s="163" t="s">
        <v>120</v>
      </c>
      <c r="J22" s="164"/>
      <c r="K22" s="165" t="s">
        <v>120</v>
      </c>
      <c r="L22" s="165"/>
      <c r="M22" s="163" t="s">
        <v>120</v>
      </c>
      <c r="N22" s="147"/>
      <c r="O22" s="146" t="str">
        <f ca="1">IFERROR(INDEX(Events!$A:$A,MATCH(O19,Events!$I:$I,0)),"")</f>
        <v/>
      </c>
      <c r="P22" s="147"/>
      <c r="R22" s="150"/>
    </row>
    <row r="23" spans="1:18" s="53" customFormat="1" ht="10.199999999999999" x14ac:dyDescent="0.25">
      <c r="A23" s="143"/>
      <c r="C23" s="174" t="str">
        <f ca="1">IFERROR(INDEX(Events!$A:$A,MATCH(C19,Events!$J:$J,0)),"")</f>
        <v/>
      </c>
      <c r="D23" s="175"/>
      <c r="E23" s="174" t="str">
        <f ca="1">IFERROR(INDEX(Events!$A:$A,MATCH(E19,Events!$J:$J,0)),"")</f>
        <v/>
      </c>
      <c r="F23" s="176"/>
      <c r="G23" s="175" t="str">
        <f ca="1">IFERROR(INDEX(Events!$A:$A,MATCH(G19,Events!$J:$J,0)),"")</f>
        <v/>
      </c>
      <c r="H23" s="175"/>
      <c r="I23" s="174" t="str">
        <f ca="1">IFERROR(INDEX(Events!$A:$A,MATCH(I19,Events!$J:$J,0)),"")</f>
        <v/>
      </c>
      <c r="J23" s="176"/>
      <c r="K23" s="175" t="str">
        <f ca="1">IFERROR(INDEX(Events!$A:$A,MATCH(K19,Events!$J:$J,0)),"")</f>
        <v/>
      </c>
      <c r="L23" s="175"/>
      <c r="M23" s="174" t="str">
        <f ca="1">IFERROR(INDEX(Events!$A:$A,MATCH(M19,Events!$J:$J,0)),"")</f>
        <v/>
      </c>
      <c r="N23" s="177"/>
      <c r="O23" s="146" t="str">
        <f ca="1">IFERROR(INDEX(Events!$A:$A,MATCH(O19,Events!$J:$J,0)),"")</f>
        <v/>
      </c>
      <c r="P23" s="147"/>
      <c r="R23" s="150"/>
    </row>
    <row r="24" spans="1:18" s="2" customFormat="1" x14ac:dyDescent="0.25">
      <c r="A24" s="143"/>
      <c r="C24" s="50">
        <f>IF(O19="","",IF(MONTH(O19+1)&lt;&gt;MONTH(O19),"",O19+1))</f>
        <v>46222</v>
      </c>
      <c r="D24" s="52" t="str">
        <f>IFERROR(INDEX(Events!$A:$A,MATCH(C24,Events!$G:$G,0)),"")</f>
        <v/>
      </c>
      <c r="E24" s="50">
        <f>IF(C24="","",IF(MONTH(C24+1)&lt;&gt;MONTH(C24),"",C24+1))</f>
        <v>46223</v>
      </c>
      <c r="F24" s="52" t="str">
        <f>IFERROR(INDEX(Events!$A:$A,MATCH(E24,Events!$G:$G,0)),"")</f>
        <v/>
      </c>
      <c r="G24" s="50">
        <f>IF(E24="","",IF(MONTH(E24+1)&lt;&gt;MONTH(E24),"",E24+1))</f>
        <v>46224</v>
      </c>
      <c r="H24" s="52" t="str">
        <f>IFERROR(INDEX(Events!$A:$A,MATCH(G24,Events!$G:$G,0)),"")</f>
        <v/>
      </c>
      <c r="I24" s="50">
        <f>IF(G24="","",IF(MONTH(G24+1)&lt;&gt;MONTH(G24),"",G24+1))</f>
        <v>46225</v>
      </c>
      <c r="J24" s="121" t="str">
        <f>IFERROR(INDEX(Events!$A:$A,MATCH(I24,Events!$G:$G,0)),"")</f>
        <v/>
      </c>
      <c r="K24" s="115">
        <f>IF(I24="","",IF(MONTH(I24+1)&lt;&gt;MONTH(I24),"",I24+1))</f>
        <v>46226</v>
      </c>
      <c r="L24" s="116" t="str">
        <f>IFERROR(INDEX(Events!$A:$A,MATCH(K24,Events!$G:$G,0)),"")</f>
        <v/>
      </c>
      <c r="M24" s="114">
        <f>IF(K24="","",IF(MONTH(K24+1)&lt;&gt;MONTH(K24),"",K24+1))</f>
        <v>46227</v>
      </c>
      <c r="N24" s="52" t="str">
        <f>IFERROR(INDEX(Events!$A:$A,MATCH(M24,Events!$G:$G,0)),"")</f>
        <v/>
      </c>
      <c r="O24" s="50">
        <f>IF(M24="","",IF(MONTH(M24+1)&lt;&gt;MONTH(M24),"",M24+1))</f>
        <v>46228</v>
      </c>
      <c r="P24" s="52" t="str">
        <f>IFERROR(INDEX(Events!$A:$A,MATCH(O24,Events!$G:$G,0)),"")</f>
        <v/>
      </c>
      <c r="R24" s="150" t="s">
        <v>127</v>
      </c>
    </row>
    <row r="25" spans="1:18" s="2" customFormat="1" x14ac:dyDescent="0.25">
      <c r="A25" s="143"/>
      <c r="C25" s="168"/>
      <c r="D25" s="169"/>
      <c r="E25" s="156" t="s">
        <v>177</v>
      </c>
      <c r="F25" s="157"/>
      <c r="G25" s="155" t="s">
        <v>177</v>
      </c>
      <c r="H25" s="155"/>
      <c r="I25" s="156" t="s">
        <v>177</v>
      </c>
      <c r="J25" s="155"/>
      <c r="K25" s="156" t="s">
        <v>177</v>
      </c>
      <c r="L25" s="157"/>
      <c r="M25" s="155" t="s">
        <v>177</v>
      </c>
      <c r="N25" s="155"/>
      <c r="O25" s="146" t="str">
        <f ca="1">IFERROR(INDEX(Events!$A:$A,MATCH(O24,Events!$H:$H,0)),"")</f>
        <v/>
      </c>
      <c r="P25" s="147"/>
      <c r="R25" s="150"/>
    </row>
    <row r="26" spans="1:18" s="53" customFormat="1" ht="10.199999999999999" x14ac:dyDescent="0.25">
      <c r="A26" s="143"/>
      <c r="C26" s="171"/>
      <c r="D26" s="172"/>
      <c r="E26" s="160" t="s">
        <v>121</v>
      </c>
      <c r="F26" s="161"/>
      <c r="G26" s="162" t="s">
        <v>121</v>
      </c>
      <c r="H26" s="162"/>
      <c r="I26" s="160" t="s">
        <v>121</v>
      </c>
      <c r="J26" s="162"/>
      <c r="K26" s="160" t="s">
        <v>121</v>
      </c>
      <c r="L26" s="161"/>
      <c r="M26" s="162" t="s">
        <v>121</v>
      </c>
      <c r="N26" s="162"/>
      <c r="O26" s="146" t="str">
        <f ca="1">IFERROR(INDEX(Events!$A:$A,MATCH(O24,Events!$H:$H,0)),"")</f>
        <v/>
      </c>
      <c r="P26" s="147" t="str">
        <f ca="1">IFERROR(INDEX(Events!G:G,MATCH(O26,Events!K:K,0)),"")</f>
        <v/>
      </c>
      <c r="R26" s="150"/>
    </row>
    <row r="27" spans="1:18" s="53" customFormat="1" ht="10.199999999999999" x14ac:dyDescent="0.25">
      <c r="A27" s="143"/>
      <c r="C27" s="171"/>
      <c r="D27" s="172"/>
      <c r="E27" s="163" t="s">
        <v>120</v>
      </c>
      <c r="F27" s="164"/>
      <c r="G27" s="165" t="s">
        <v>120</v>
      </c>
      <c r="H27" s="165"/>
      <c r="I27" s="163" t="s">
        <v>120</v>
      </c>
      <c r="J27" s="165"/>
      <c r="K27" s="163" t="s">
        <v>120</v>
      </c>
      <c r="L27" s="164"/>
      <c r="M27" s="165" t="s">
        <v>120</v>
      </c>
      <c r="N27" s="165"/>
      <c r="O27" s="146" t="str">
        <f ca="1">IFERROR(INDEX(Events!$A:$A,MATCH(O24,Events!$I:$I,0)),"")</f>
        <v/>
      </c>
      <c r="P27" s="147"/>
      <c r="R27" s="150"/>
    </row>
    <row r="28" spans="1:18" s="53" customFormat="1" ht="10.199999999999999" x14ac:dyDescent="0.25">
      <c r="A28" s="143"/>
      <c r="C28" s="174" t="str">
        <f ca="1">IFERROR(INDEX(Events!$A:$A,MATCH(C24,Events!$J:$J,0)),"")</f>
        <v/>
      </c>
      <c r="D28" s="175"/>
      <c r="E28" s="174" t="str">
        <f ca="1">IFERROR(INDEX(Events!$A:$A,MATCH(E24,Events!$J:$J,0)),"")</f>
        <v/>
      </c>
      <c r="F28" s="176"/>
      <c r="G28" s="175" t="str">
        <f ca="1">IFERROR(INDEX(Events!$A:$A,MATCH(G24,Events!$J:$J,0)),"")</f>
        <v/>
      </c>
      <c r="H28" s="175"/>
      <c r="I28" s="178" t="s">
        <v>190</v>
      </c>
      <c r="J28" s="179"/>
      <c r="K28" s="174" t="str">
        <f ca="1">IFERROR(INDEX(Events!$A:$A,MATCH(K24,Events!$J:$J,0)),"")</f>
        <v/>
      </c>
      <c r="L28" s="176"/>
      <c r="M28" s="175" t="str">
        <f ca="1">IFERROR(INDEX(Events!$A:$A,MATCH(M24,Events!$J:$J,0)),"")</f>
        <v/>
      </c>
      <c r="N28" s="175"/>
      <c r="O28" s="146" t="str">
        <f ca="1">IFERROR(INDEX(Events!$A:$A,MATCH(O24,Events!$J:$J,0)),"")</f>
        <v/>
      </c>
      <c r="P28" s="147"/>
      <c r="R28" s="150"/>
    </row>
    <row r="29" spans="1:18" s="2" customFormat="1" x14ac:dyDescent="0.25">
      <c r="A29" s="143"/>
      <c r="C29" s="115">
        <f>IF(O24="","",IF(MONTH(O24+1)&lt;&gt;MONTH(O24),"",O24+1))</f>
        <v>46229</v>
      </c>
      <c r="D29" s="117"/>
      <c r="E29" s="115">
        <f>IF(C29="","",IF(MONTH(C29+1)&lt;&gt;MONTH(C29),"",C29+1))</f>
        <v>46230</v>
      </c>
      <c r="F29" s="116" t="str">
        <f>IFERROR(INDEX(Events!$A:$A,MATCH(E29,Events!$G:$G,0)),"")</f>
        <v/>
      </c>
      <c r="G29" s="118">
        <f>IF(E29="","",IF(MONTH(E29+1)&lt;&gt;MONTH(E29),"",E29+1))</f>
        <v>46231</v>
      </c>
      <c r="H29" s="117" t="str">
        <f>IFERROR(INDEX(Events!$A:$A,MATCH(G29,Events!$G:$G,0)),"")</f>
        <v/>
      </c>
      <c r="I29" s="115">
        <f>IF(G29="","",IF(MONTH(G29+1)&lt;&gt;MONTH(G29),"",G29+1))</f>
        <v>46232</v>
      </c>
      <c r="J29" s="116" t="str">
        <f>IFERROR(INDEX(Events!$A:$A,MATCH(I29,Events!$G:$G,0)),"")</f>
        <v/>
      </c>
      <c r="K29" s="118">
        <f>IF(I29="","",IF(MONTH(I29+1)&lt;&gt;MONTH(I29),"",I29+1))</f>
        <v>46233</v>
      </c>
      <c r="L29" s="117" t="str">
        <f>IFERROR(INDEX(Events!$A:$A,MATCH(K29,Events!$G:$G,0)),"")</f>
        <v/>
      </c>
      <c r="M29" s="115">
        <f>IF(K29="","",IF(MONTH(K29+1)&lt;&gt;MONTH(K29),"",K29+1))</f>
        <v>46234</v>
      </c>
      <c r="N29" s="116" t="str">
        <f>IFERROR(INDEX(Events!$A:$A,MATCH(M29,Events!$G:$G,0)),"")</f>
        <v/>
      </c>
      <c r="O29" s="114" t="str">
        <f>IF(M29="","",IF(MONTH(M29+1)&lt;&gt;MONTH(M29),"",M29+1))</f>
        <v/>
      </c>
      <c r="P29" s="52" t="str">
        <f>IFERROR(INDEX(Events!$A:$A,MATCH(O29,Events!$G:$G,0)),"")</f>
        <v/>
      </c>
      <c r="R29" s="150" t="s">
        <v>128</v>
      </c>
    </row>
    <row r="30" spans="1:18" s="2" customFormat="1" x14ac:dyDescent="0.25">
      <c r="A30" s="143"/>
      <c r="C30" s="168"/>
      <c r="D30" s="169"/>
      <c r="E30" s="156" t="s">
        <v>177</v>
      </c>
      <c r="F30" s="157"/>
      <c r="G30" s="155" t="s">
        <v>177</v>
      </c>
      <c r="H30" s="155"/>
      <c r="I30" s="156" t="s">
        <v>177</v>
      </c>
      <c r="J30" s="157"/>
      <c r="K30" s="155" t="s">
        <v>177</v>
      </c>
      <c r="L30" s="155"/>
      <c r="M30" s="156" t="s">
        <v>177</v>
      </c>
      <c r="N30" s="157"/>
      <c r="O30" s="93"/>
      <c r="P30" s="105"/>
      <c r="R30" s="150"/>
    </row>
    <row r="31" spans="1:18" s="53" customFormat="1" ht="10.199999999999999" x14ac:dyDescent="0.25">
      <c r="A31" s="143"/>
      <c r="C31" s="171"/>
      <c r="D31" s="172"/>
      <c r="E31" s="160" t="s">
        <v>121</v>
      </c>
      <c r="F31" s="161"/>
      <c r="G31" s="162" t="s">
        <v>121</v>
      </c>
      <c r="H31" s="162"/>
      <c r="I31" s="160" t="s">
        <v>121</v>
      </c>
      <c r="J31" s="161"/>
      <c r="K31" s="162" t="s">
        <v>121</v>
      </c>
      <c r="L31" s="162"/>
      <c r="M31" s="160" t="s">
        <v>121</v>
      </c>
      <c r="N31" s="161"/>
      <c r="O31" s="165" t="str">
        <f ca="1">IFERROR(INDEX(Events!$A:$A,MATCH(O29,Events!$H:$H,0)),"")</f>
        <v/>
      </c>
      <c r="P31" s="147" t="str">
        <f ca="1">IFERROR(INDEX(Events!G:G,MATCH(O31,Events!K:K,0)),"")</f>
        <v/>
      </c>
      <c r="R31" s="150"/>
    </row>
    <row r="32" spans="1:18" s="53" customFormat="1" ht="10.199999999999999" x14ac:dyDescent="0.25">
      <c r="A32" s="143"/>
      <c r="C32" s="171"/>
      <c r="D32" s="172"/>
      <c r="E32" s="163" t="s">
        <v>120</v>
      </c>
      <c r="F32" s="164"/>
      <c r="G32" s="165" t="s">
        <v>120</v>
      </c>
      <c r="H32" s="165"/>
      <c r="I32" s="163" t="s">
        <v>120</v>
      </c>
      <c r="J32" s="164"/>
      <c r="K32" s="165" t="s">
        <v>120</v>
      </c>
      <c r="L32" s="165"/>
      <c r="M32" s="163" t="s">
        <v>120</v>
      </c>
      <c r="N32" s="164"/>
      <c r="O32" s="165" t="str">
        <f ca="1">IFERROR(INDEX(Events!$A:$A,MATCH(O29,Events!$I:$I,0)),"")</f>
        <v/>
      </c>
      <c r="P32" s="147"/>
      <c r="R32" s="150"/>
    </row>
    <row r="33" spans="1:18" s="53" customFormat="1" ht="10.199999999999999" x14ac:dyDescent="0.25">
      <c r="A33" s="143"/>
      <c r="C33" s="174" t="str">
        <f ca="1">IFERROR(INDEX(Events!$A:$A,MATCH(C29,Events!$J:$J,0)),"")</f>
        <v/>
      </c>
      <c r="D33" s="175"/>
      <c r="E33" s="174" t="str">
        <f ca="1">IFERROR(INDEX(Events!$A:$A,MATCH(E29,Events!$J:$J,0)),"")</f>
        <v/>
      </c>
      <c r="F33" s="176"/>
      <c r="G33" s="175" t="str">
        <f ca="1">IFERROR(INDEX(Events!$A:$A,MATCH(G29,Events!$J:$J,0)),"")</f>
        <v/>
      </c>
      <c r="H33" s="175"/>
      <c r="I33" s="174" t="str">
        <f ca="1">IFERROR(INDEX(Events!$A:$A,MATCH(I29,Events!$J:$J,0)),"")</f>
        <v/>
      </c>
      <c r="J33" s="176"/>
      <c r="K33" s="175" t="str">
        <f ca="1">IFERROR(INDEX(Events!$A:$A,MATCH(K29,Events!$J:$J,0)),"")</f>
        <v/>
      </c>
      <c r="L33" s="175"/>
      <c r="M33" s="174" t="str">
        <f ca="1">IFERROR(INDEX(Events!$A:$A,MATCH(M29,Events!$J:$J,0)),"")</f>
        <v/>
      </c>
      <c r="N33" s="176"/>
      <c r="O33" s="182" t="str">
        <f ca="1">IFERROR(INDEX(Events!$A:$A,MATCH(O29,Events!$J:$J,0)),"")</f>
        <v/>
      </c>
      <c r="P33" s="181"/>
      <c r="R33" s="150"/>
    </row>
    <row r="34" spans="1:18" x14ac:dyDescent="0.25">
      <c r="C34" s="104" t="str">
        <f>IF(O29="","",IF(MONTH(O29+1)&lt;&gt;MONTH(O29),"",O29+1))</f>
        <v/>
      </c>
      <c r="D34" s="105" t="str">
        <f>IFERROR(INDEX(Events!$A:$A,MATCH(C34,Events!$G:$G,0)),"")</f>
        <v/>
      </c>
      <c r="E34" s="104" t="str">
        <f>IF(C34="","",IF(MONTH(C34+1)&lt;&gt;MONTH(C34),"",C34+1))</f>
        <v/>
      </c>
      <c r="F34" s="105" t="str">
        <f>IFERROR(INDEX(Events!$A:$A,MATCH(E34,Events!$G:$G,0)),"")</f>
        <v/>
      </c>
    </row>
    <row r="35" spans="1:18" s="54" customFormat="1" ht="10.199999999999999" x14ac:dyDescent="0.2">
      <c r="C35" s="146" t="str">
        <f ca="1">IFERROR(INDEX(Events!$A:$A,MATCH(C34,Events!$H:$H,0)),"")</f>
        <v/>
      </c>
      <c r="D35" s="147" t="str">
        <f ca="1">IFERROR(INDEX(Events!#REF!,MATCH(C35,Events!A:A,0)),"")</f>
        <v/>
      </c>
      <c r="E35" s="146" t="str">
        <f ca="1">IFERROR(INDEX(Events!$A:$A,MATCH(E34,Events!$H:$H,0)),"")</f>
        <v/>
      </c>
      <c r="F35" s="147" t="str">
        <f ca="1">IFERROR(INDEX(Events!#REF!,MATCH(E35,Events!C:C,0)),"")</f>
        <v/>
      </c>
      <c r="J35" s="55"/>
      <c r="K35" s="55"/>
      <c r="L35" s="55"/>
      <c r="M35" s="55"/>
      <c r="N35" s="55"/>
      <c r="O35" s="55"/>
      <c r="P35" s="55"/>
      <c r="R35" s="101"/>
    </row>
    <row r="36" spans="1:18" s="54" customFormat="1" ht="10.199999999999999" x14ac:dyDescent="0.2">
      <c r="C36" s="146" t="str">
        <f ca="1">IFERROR(INDEX(Events!$A:$A,MATCH(C34,Events!$I:$I,0)),"")</f>
        <v/>
      </c>
      <c r="D36" s="147"/>
      <c r="E36" s="146" t="str">
        <f ca="1">IFERROR(INDEX(Events!$A:$A,MATCH(E34,Events!$I:$I,0)),"")</f>
        <v/>
      </c>
      <c r="F36" s="147"/>
      <c r="I36" s="142">
        <f>D39</f>
        <v>46235</v>
      </c>
      <c r="J36" s="142"/>
      <c r="K36" s="142"/>
      <c r="L36" s="142"/>
      <c r="M36" s="142"/>
      <c r="N36" s="142"/>
      <c r="O36" s="142"/>
      <c r="P36" s="142"/>
      <c r="R36" s="101"/>
    </row>
    <row r="37" spans="1:18" s="54" customFormat="1" ht="10.199999999999999" x14ac:dyDescent="0.2">
      <c r="C37" s="180" t="str">
        <f ca="1">IFERROR(INDEX(Events!$A:$A,MATCH(C34,Events!$J:$J,0)),"")</f>
        <v/>
      </c>
      <c r="D37" s="181"/>
      <c r="E37" s="180" t="str">
        <f ca="1">IFERROR(INDEX(Events!$A:$A,MATCH(E34,Events!$J:$J,0)),"")</f>
        <v/>
      </c>
      <c r="F37" s="181"/>
      <c r="I37" s="142"/>
      <c r="J37" s="142"/>
      <c r="K37" s="142"/>
      <c r="L37" s="142"/>
      <c r="M37" s="142"/>
      <c r="N37" s="142"/>
      <c r="O37" s="142"/>
      <c r="P37" s="142"/>
      <c r="R37" s="101"/>
    </row>
    <row r="38" spans="1:18" ht="18" customHeight="1" x14ac:dyDescent="0.25">
      <c r="I38" s="142"/>
      <c r="J38" s="142"/>
      <c r="K38" s="142"/>
      <c r="L38" s="142"/>
      <c r="M38" s="142"/>
      <c r="N38" s="142"/>
      <c r="O38" s="142"/>
      <c r="P38" s="142"/>
    </row>
    <row r="39" spans="1:18" s="1" customFormat="1" ht="10.199999999999999" hidden="1" outlineLevel="1" x14ac:dyDescent="0.2">
      <c r="C39" s="1" t="s">
        <v>1</v>
      </c>
      <c r="D39" s="6">
        <f>DATE(YEAR('3Q26'!$D$7),MONTH('Q1'!$D$7)+7,1)</f>
        <v>46235</v>
      </c>
      <c r="R39" s="101"/>
    </row>
    <row r="40" spans="1:18" s="56" customFormat="1" ht="18" customHeight="1" collapsed="1" x14ac:dyDescent="0.25">
      <c r="A40" s="143">
        <f>D39</f>
        <v>46235</v>
      </c>
      <c r="C40" s="144" t="s">
        <v>109</v>
      </c>
      <c r="D40" s="145"/>
      <c r="E40" s="144" t="s">
        <v>110</v>
      </c>
      <c r="F40" s="145"/>
      <c r="G40" s="144" t="s">
        <v>111</v>
      </c>
      <c r="H40" s="145"/>
      <c r="I40" s="144" t="s">
        <v>112</v>
      </c>
      <c r="J40" s="145"/>
      <c r="K40" s="144" t="s">
        <v>113</v>
      </c>
      <c r="L40" s="145"/>
      <c r="M40" s="144" t="s">
        <v>114</v>
      </c>
      <c r="N40" s="145"/>
      <c r="O40" s="144" t="s">
        <v>115</v>
      </c>
      <c r="P40" s="145"/>
      <c r="R40" s="96" t="s">
        <v>132</v>
      </c>
    </row>
    <row r="41" spans="1:18" s="1" customFormat="1" x14ac:dyDescent="0.2">
      <c r="A41" s="143"/>
      <c r="C41" s="50" t="str">
        <f>IF(WEEKDAY($D$39,1)=startday,$D$39,"")</f>
        <v/>
      </c>
      <c r="D41" s="52" t="str">
        <f>IFERROR(INDEX(Events!$A:$A,MATCH(C41,Events!$G:$G,0)),"")</f>
        <v/>
      </c>
      <c r="E41" s="50" t="str">
        <f>IF(C41="",IF(WEEKDAY($D$39,1)=MOD(startday,7)+1,$D$39,""),C41+1)</f>
        <v/>
      </c>
      <c r="F41" s="52" t="str">
        <f>IFERROR(INDEX(Events!$A:$A,MATCH(E41,Events!$G:$G,0)),"")</f>
        <v/>
      </c>
      <c r="G41" s="50" t="str">
        <f>IF(E41="",IF(WEEKDAY($D$39,1)=MOD(startday+1,7)+1,$D$39,""),E41+1)</f>
        <v/>
      </c>
      <c r="H41" s="52" t="str">
        <f>IFERROR(INDEX(Events!$A:$A,MATCH(G41,Events!$G:$G,0)),"")</f>
        <v/>
      </c>
      <c r="I41" s="50" t="str">
        <f>IF(G41="",IF(WEEKDAY($D$39,1)=MOD(startday+2,7)+1,$D$39,""),G41+1)</f>
        <v/>
      </c>
      <c r="J41" s="52" t="str">
        <f>IFERROR(INDEX(Events!$A:$A,MATCH(I41,Events!$G:$G,0)),"")</f>
        <v/>
      </c>
      <c r="K41" s="50" t="str">
        <f>IF(I41="",IF(WEEKDAY($D$39,1)=MOD(startday+3,7)+1,$D$39,""),I41+1)</f>
        <v/>
      </c>
      <c r="L41" s="52" t="str">
        <f>IFERROR(INDEX(Events!$A:$A,MATCH(K41,Events!$G:$G,0)),"")</f>
        <v/>
      </c>
      <c r="M41" s="50" t="str">
        <f>IF(K41="",IF(WEEKDAY($D$39,1)=MOD(startday+3,7)+1,$D$39,""),K41+1)</f>
        <v/>
      </c>
      <c r="N41" s="52" t="str">
        <f>IFERROR(INDEX(Events!$A:$A,MATCH(M41,Events!$G:$G,0)),"")</f>
        <v/>
      </c>
      <c r="O41" s="50">
        <f>IF(M41="",IF(WEEKDAY($D$39,1)=MOD(startday+5,7)+1,$D$39,""),M41+1)</f>
        <v>46235</v>
      </c>
      <c r="P41" s="52" t="str">
        <f>IFERROR(INDEX(Events!$A:$A,MATCH(O41,Events!$G:$G,0)),"")</f>
        <v/>
      </c>
      <c r="R41" s="183" t="s">
        <v>129</v>
      </c>
    </row>
    <row r="42" spans="1:18" s="1" customFormat="1" x14ac:dyDescent="0.2">
      <c r="A42" s="143"/>
      <c r="C42" s="104"/>
      <c r="D42" s="105"/>
      <c r="E42" s="104"/>
      <c r="F42" s="105"/>
      <c r="G42" s="104"/>
      <c r="H42" s="105"/>
      <c r="I42" s="104"/>
      <c r="J42" s="105"/>
      <c r="K42" s="104"/>
      <c r="L42" s="105"/>
      <c r="M42" s="104"/>
      <c r="N42" s="105"/>
      <c r="O42" s="146" t="str">
        <f ca="1">IFERROR(INDEX(Events!$A:$A,MATCH(O41,Events!$H:$H,0)),"")</f>
        <v/>
      </c>
      <c r="P42" s="147"/>
      <c r="R42" s="184"/>
    </row>
    <row r="43" spans="1:18" s="54" customFormat="1" ht="10.199999999999999" x14ac:dyDescent="0.2">
      <c r="A43" s="143"/>
      <c r="C43" s="146" t="str">
        <f ca="1">IFERROR(INDEX(Events!$A:$A,MATCH(C41,Events!$H:$H,0)),"")</f>
        <v/>
      </c>
      <c r="D43" s="147"/>
      <c r="E43" s="146" t="str">
        <f ca="1">IFERROR(INDEX(Events!$A:$A,MATCH(E41,Events!$H:$H,0)),"")</f>
        <v/>
      </c>
      <c r="F43" s="147"/>
      <c r="G43" s="146" t="str">
        <f ca="1">IFERROR(INDEX(Events!$A:$A,MATCH(G41,Events!$H:$H,0)),"")</f>
        <v/>
      </c>
      <c r="H43" s="147"/>
      <c r="I43" s="146" t="str">
        <f ca="1">IFERROR(INDEX(Events!$A:$A,MATCH(I41,Events!$H:$H,0)),"")</f>
        <v/>
      </c>
      <c r="J43" s="147"/>
      <c r="K43" s="146" t="str">
        <f ca="1">IFERROR(INDEX(Events!$A:$A,MATCH(K41,Events!$H:$H,0)),"")</f>
        <v/>
      </c>
      <c r="L43" s="147"/>
      <c r="M43" s="146" t="str">
        <f ca="1">IFERROR(INDEX(Events!$A:$A,MATCH(M41,Events!$H:$H,0)),"")</f>
        <v/>
      </c>
      <c r="N43" s="147"/>
      <c r="O43" s="146" t="str">
        <f ca="1">IFERROR(INDEX(Events!$A:$A,MATCH(O41,Events!$H:$H,0)),"")</f>
        <v/>
      </c>
      <c r="P43" s="147"/>
      <c r="R43" s="184"/>
    </row>
    <row r="44" spans="1:18" s="54" customFormat="1" ht="10.199999999999999" x14ac:dyDescent="0.2">
      <c r="A44" s="143"/>
      <c r="C44" s="146" t="str">
        <f ca="1">IFERROR(INDEX(Events!$A:$A,MATCH(C41,Events!$I:$I,0)),"")</f>
        <v/>
      </c>
      <c r="D44" s="147"/>
      <c r="E44" s="146" t="str">
        <f ca="1">IFERROR(INDEX(Events!$A:$A,MATCH(E41,Events!$I:$I,0)),"")</f>
        <v/>
      </c>
      <c r="F44" s="147"/>
      <c r="G44" s="146" t="str">
        <f ca="1">IFERROR(INDEX(Events!$A:$A,MATCH(G41,Events!$I:$I,0)),"")</f>
        <v/>
      </c>
      <c r="H44" s="147"/>
      <c r="I44" s="146" t="str">
        <f ca="1">IFERROR(INDEX(Events!$A:$A,MATCH(I41,Events!$I:$I,0)),"")</f>
        <v/>
      </c>
      <c r="J44" s="147"/>
      <c r="K44" s="146" t="str">
        <f ca="1">IFERROR(INDEX(Events!$A:$A,MATCH(K41,Events!$I:$I,0)),"")</f>
        <v/>
      </c>
      <c r="L44" s="147"/>
      <c r="M44" s="146" t="str">
        <f ca="1">IFERROR(INDEX(Events!$A:$A,MATCH(M41,Events!$I:$I,0)),"")</f>
        <v/>
      </c>
      <c r="N44" s="147"/>
      <c r="O44" s="146" t="str">
        <f ca="1">IFERROR(INDEX(Events!$A:$A,MATCH(O41,Events!$I:$I,0)),"")</f>
        <v/>
      </c>
      <c r="P44" s="147"/>
      <c r="R44" s="184"/>
    </row>
    <row r="45" spans="1:18" s="54" customFormat="1" ht="10.199999999999999" x14ac:dyDescent="0.2">
      <c r="A45" s="143"/>
      <c r="C45" s="146" t="str">
        <f ca="1">IFERROR(INDEX(Events!$A:$A,MATCH(C41,Events!$J:$J,0)),"")</f>
        <v/>
      </c>
      <c r="D45" s="147"/>
      <c r="E45" s="146" t="str">
        <f ca="1">IFERROR(INDEX(Events!$A:$A,MATCH(E41,Events!$J:$J,0)),"")</f>
        <v/>
      </c>
      <c r="F45" s="147"/>
      <c r="G45" s="146" t="str">
        <f ca="1">IFERROR(INDEX(Events!$A:$A,MATCH(G41,Events!$J:$J,0)),"")</f>
        <v/>
      </c>
      <c r="H45" s="147"/>
      <c r="I45" s="146" t="str">
        <f ca="1">IFERROR(INDEX(Events!$A:$A,MATCH(I41,Events!$J:$J,0)),"")</f>
        <v/>
      </c>
      <c r="J45" s="147"/>
      <c r="K45" s="146" t="str">
        <f ca="1">IFERROR(INDEX(Events!$A:$A,MATCH(K41,Events!$J:$J,0)),"")</f>
        <v/>
      </c>
      <c r="L45" s="147"/>
      <c r="M45" s="146" t="str">
        <f ca="1">IFERROR(INDEX(Events!$A:$A,MATCH(M41,Events!$J:$J,0)),"")</f>
        <v/>
      </c>
      <c r="N45" s="147"/>
      <c r="O45" s="146" t="str">
        <f ca="1">IFERROR(INDEX(Events!$A:$A,MATCH(O41,Events!$J:$J,0)),"")</f>
        <v/>
      </c>
      <c r="P45" s="147"/>
      <c r="R45" s="184"/>
    </row>
    <row r="46" spans="1:18" s="1" customFormat="1" x14ac:dyDescent="0.2">
      <c r="A46" s="143"/>
      <c r="C46" s="50">
        <f>IF(O41="","",IF(MONTH(O41+1)&lt;&gt;MONTH(O41),"",O41+1))</f>
        <v>46236</v>
      </c>
      <c r="D46" s="52" t="str">
        <f>IFERROR(INDEX(Events!$A:$A,MATCH(C46,Events!$G:$G,0)),"")</f>
        <v/>
      </c>
      <c r="E46" s="107">
        <f>IF(C46="","",IF(MONTH(C46+1)&lt;&gt;MONTH(C46),"",C46+1))</f>
        <v>46237</v>
      </c>
      <c r="F46" s="108" t="s">
        <v>141</v>
      </c>
      <c r="G46" s="50">
        <f>IF(E46="","",IF(MONTH(E46+1)&lt;&gt;MONTH(E46),"",E46+1))</f>
        <v>46238</v>
      </c>
      <c r="H46" s="97" t="s">
        <v>142</v>
      </c>
      <c r="I46" s="50">
        <f>IF(G46="","",IF(MONTH(G46+1)&lt;&gt;MONTH(G46),"",G46+1))</f>
        <v>46239</v>
      </c>
      <c r="J46" s="97" t="s">
        <v>143</v>
      </c>
      <c r="K46" s="50">
        <f>IF(I46="","",IF(MONTH(I46+1)&lt;&gt;MONTH(I46),"",I46+1))</f>
        <v>46240</v>
      </c>
      <c r="L46" s="97" t="s">
        <v>144</v>
      </c>
      <c r="M46" s="115">
        <f>IF(K46="","",IF(MONTH(K46+1)&lt;&gt;MONTH(K46),"",K46+1))</f>
        <v>46241</v>
      </c>
      <c r="N46" s="97" t="s">
        <v>145</v>
      </c>
      <c r="O46" s="114">
        <f>IF(M46="","",IF(MONTH(M46+1)&lt;&gt;MONTH(M46),"",M46+1))</f>
        <v>46242</v>
      </c>
      <c r="P46" s="52" t="str">
        <f>IFERROR(INDEX(Events!$A:$A,MATCH(O46,Events!$G:$G,0)),"")</f>
        <v/>
      </c>
      <c r="R46" s="150" t="s">
        <v>130</v>
      </c>
    </row>
    <row r="47" spans="1:18" s="1" customFormat="1" ht="10.199999999999999" x14ac:dyDescent="0.2">
      <c r="A47" s="143"/>
      <c r="C47" s="168"/>
      <c r="D47" s="169"/>
      <c r="E47" s="185" t="s">
        <v>177</v>
      </c>
      <c r="F47" s="186"/>
      <c r="G47" s="187" t="s">
        <v>163</v>
      </c>
      <c r="H47" s="188" t="str">
        <f>IFERROR(INDEX(Events!#REF!,MATCH(G47,Events!E:E,0)),"")</f>
        <v/>
      </c>
      <c r="I47" s="156" t="s">
        <v>177</v>
      </c>
      <c r="J47" s="157"/>
      <c r="K47" s="155" t="s">
        <v>177</v>
      </c>
      <c r="L47" s="155"/>
      <c r="M47" s="156" t="s">
        <v>177</v>
      </c>
      <c r="N47" s="157"/>
      <c r="O47" s="165" t="str">
        <f ca="1">IFERROR(INDEX(Events!$A:$A,MATCH(O46,Events!$H:$H,0)),"")</f>
        <v/>
      </c>
      <c r="P47" s="147"/>
      <c r="R47" s="150"/>
    </row>
    <row r="48" spans="1:18" s="54" customFormat="1" ht="10.199999999999999" x14ac:dyDescent="0.2">
      <c r="A48" s="143"/>
      <c r="C48" s="171"/>
      <c r="D48" s="172"/>
      <c r="E48" s="189" t="s">
        <v>121</v>
      </c>
      <c r="F48" s="190"/>
      <c r="G48" s="155" t="s">
        <v>177</v>
      </c>
      <c r="H48" s="155"/>
      <c r="I48" s="160" t="s">
        <v>121</v>
      </c>
      <c r="J48" s="161"/>
      <c r="K48" s="162" t="s">
        <v>121</v>
      </c>
      <c r="L48" s="162"/>
      <c r="M48" s="160" t="s">
        <v>121</v>
      </c>
      <c r="N48" s="161"/>
      <c r="O48" s="165" t="str">
        <f ca="1">IFERROR(INDEX(Events!$A:$A,MATCH(O46,Events!$H:$H,0)),"")</f>
        <v/>
      </c>
      <c r="P48" s="147"/>
      <c r="R48" s="150"/>
    </row>
    <row r="49" spans="1:18" s="54" customFormat="1" ht="10.199999999999999" x14ac:dyDescent="0.2">
      <c r="A49" s="143"/>
      <c r="C49" s="171"/>
      <c r="D49" s="172"/>
      <c r="E49" s="189" t="s">
        <v>120</v>
      </c>
      <c r="F49" s="190"/>
      <c r="G49" s="162" t="s">
        <v>121</v>
      </c>
      <c r="H49" s="162"/>
      <c r="I49" s="163" t="s">
        <v>120</v>
      </c>
      <c r="J49" s="164"/>
      <c r="K49" s="165" t="s">
        <v>120</v>
      </c>
      <c r="L49" s="165"/>
      <c r="M49" s="163" t="s">
        <v>120</v>
      </c>
      <c r="N49" s="164"/>
      <c r="O49" s="165" t="str">
        <f ca="1">IFERROR(INDEX(Events!$A:$A,MATCH(O46,Events!$I:$I,0)),"")</f>
        <v/>
      </c>
      <c r="P49" s="147"/>
      <c r="R49" s="150"/>
    </row>
    <row r="50" spans="1:18" s="54" customFormat="1" ht="10.199999999999999" x14ac:dyDescent="0.2">
      <c r="A50" s="143"/>
      <c r="C50" s="146" t="str">
        <f ca="1">IFERROR(INDEX(Events!$A:$A,MATCH(C46,Events!$J:$J,0)),"")</f>
        <v/>
      </c>
      <c r="D50" s="147"/>
      <c r="E50" s="191" t="s">
        <v>179</v>
      </c>
      <c r="F50" s="192"/>
      <c r="G50" s="165" t="s">
        <v>120</v>
      </c>
      <c r="H50" s="165"/>
      <c r="I50" s="146" t="str">
        <f ca="1">IFERROR(INDEX(Events!$A:$A,MATCH(I46,Events!$J:$J,0)),"")</f>
        <v/>
      </c>
      <c r="J50" s="147"/>
      <c r="K50" s="146" t="str">
        <f ca="1">IFERROR(INDEX(Events!$A:$A,MATCH(K46,Events!$J:$J,0)),"")</f>
        <v/>
      </c>
      <c r="L50" s="165"/>
      <c r="M50" s="193" t="s">
        <v>119</v>
      </c>
      <c r="N50" s="167" t="str">
        <f>IFERROR(INDEX(Events!E:E,MATCH(M50,Events!#REF!,0)),"")</f>
        <v/>
      </c>
      <c r="O50" s="165" t="str">
        <f ca="1">IFERROR(INDEX(Events!$A:$A,MATCH(O46,Events!$J:$J,0)),"")</f>
        <v/>
      </c>
      <c r="P50" s="147"/>
      <c r="R50" s="150"/>
    </row>
    <row r="51" spans="1:18" s="1" customFormat="1" x14ac:dyDescent="0.2">
      <c r="A51" s="143"/>
      <c r="C51" s="50">
        <f>IF(O46="","",IF(MONTH(O46+1)&lt;&gt;MONTH(O46),"",O46+1))</f>
        <v>46243</v>
      </c>
      <c r="D51" s="97" t="s">
        <v>147</v>
      </c>
      <c r="E51" s="50">
        <f>IF(C51="","",IF(MONTH(C51+1)&lt;&gt;MONTH(C51),"",C51+1))</f>
        <v>46244</v>
      </c>
      <c r="F51" s="97" t="s">
        <v>146</v>
      </c>
      <c r="G51" s="50">
        <f>IF(E51="","",IF(MONTH(E51+1)&lt;&gt;MONTH(E51),"",E51+1))</f>
        <v>46245</v>
      </c>
      <c r="H51" s="97" t="s">
        <v>147</v>
      </c>
      <c r="I51" s="50">
        <f>IF(G51="","",IF(MONTH(G51+1)&lt;&gt;MONTH(G51),"",G51+1))</f>
        <v>46246</v>
      </c>
      <c r="J51" s="97" t="s">
        <v>151</v>
      </c>
      <c r="K51" s="50">
        <f>IF(I51="","",IF(MONTH(I51+1)&lt;&gt;MONTH(I51),"",I51+1))</f>
        <v>46247</v>
      </c>
      <c r="L51" s="97" t="s">
        <v>153</v>
      </c>
      <c r="M51" s="122">
        <f>IF(K51="","",IF(MONTH(K51+1)&lt;&gt;MONTH(K51),"",K51+1))</f>
        <v>46248</v>
      </c>
      <c r="N51" s="97" t="s">
        <v>154</v>
      </c>
      <c r="O51" s="114">
        <f>IF(M51="","",IF(MONTH(M51+1)&lt;&gt;MONTH(M51),"",M51+1))</f>
        <v>46249</v>
      </c>
      <c r="P51" s="52" t="str">
        <f>IFERROR(INDEX(Events!$A:$A,MATCH(O51,Events!$G:$G,0)),"")</f>
        <v/>
      </c>
      <c r="R51" s="150" t="s">
        <v>131</v>
      </c>
    </row>
    <row r="52" spans="1:18" s="1" customFormat="1" ht="10.199999999999999" x14ac:dyDescent="0.2">
      <c r="A52" s="143"/>
      <c r="C52" s="168"/>
      <c r="D52" s="169"/>
      <c r="E52" s="156" t="s">
        <v>177</v>
      </c>
      <c r="F52" s="157"/>
      <c r="G52" s="155" t="s">
        <v>177</v>
      </c>
      <c r="H52" s="155"/>
      <c r="I52" s="156" t="s">
        <v>177</v>
      </c>
      <c r="J52" s="157"/>
      <c r="K52" s="155" t="s">
        <v>177</v>
      </c>
      <c r="L52" s="155"/>
      <c r="M52" s="156" t="s">
        <v>177</v>
      </c>
      <c r="N52" s="157"/>
      <c r="O52" s="165" t="str">
        <f ca="1">IFERROR(INDEX(Events!$A:$A,MATCH(O51,Events!$H:$H,0)),"")</f>
        <v/>
      </c>
      <c r="P52" s="147"/>
      <c r="R52" s="150"/>
    </row>
    <row r="53" spans="1:18" s="54" customFormat="1" ht="10.199999999999999" x14ac:dyDescent="0.2">
      <c r="A53" s="143"/>
      <c r="C53" s="171"/>
      <c r="D53" s="172"/>
      <c r="E53" s="160" t="s">
        <v>121</v>
      </c>
      <c r="F53" s="161"/>
      <c r="G53" s="162" t="s">
        <v>121</v>
      </c>
      <c r="H53" s="162"/>
      <c r="I53" s="160" t="s">
        <v>121</v>
      </c>
      <c r="J53" s="161"/>
      <c r="K53" s="162" t="s">
        <v>121</v>
      </c>
      <c r="L53" s="162"/>
      <c r="M53" s="160" t="s">
        <v>121</v>
      </c>
      <c r="N53" s="161"/>
      <c r="O53" s="165" t="str">
        <f ca="1">IFERROR(INDEX(Events!$A:$A,MATCH(O51,Events!$H:$H,0)),"")</f>
        <v/>
      </c>
      <c r="P53" s="147"/>
      <c r="R53" s="150"/>
    </row>
    <row r="54" spans="1:18" s="54" customFormat="1" ht="10.199999999999999" x14ac:dyDescent="0.2">
      <c r="A54" s="143"/>
      <c r="C54" s="171"/>
      <c r="D54" s="172"/>
      <c r="E54" s="163" t="s">
        <v>120</v>
      </c>
      <c r="F54" s="164"/>
      <c r="G54" s="165" t="s">
        <v>120</v>
      </c>
      <c r="H54" s="165"/>
      <c r="I54" s="163" t="s">
        <v>120</v>
      </c>
      <c r="J54" s="164"/>
      <c r="K54" s="165" t="s">
        <v>120</v>
      </c>
      <c r="L54" s="165"/>
      <c r="M54" s="163" t="s">
        <v>120</v>
      </c>
      <c r="N54" s="164"/>
      <c r="O54" s="165" t="str">
        <f ca="1">IFERROR(INDEX(Events!$A:$A,MATCH(O51,Events!$I:$I,0)),"")</f>
        <v/>
      </c>
      <c r="P54" s="147"/>
      <c r="R54" s="150"/>
    </row>
    <row r="55" spans="1:18" s="54" customFormat="1" ht="10.199999999999999" x14ac:dyDescent="0.2">
      <c r="A55" s="143"/>
      <c r="C55" s="194"/>
      <c r="D55" s="195"/>
      <c r="E55" s="146" t="str">
        <f ca="1">IFERROR(INDEX(Events!$A:$A,MATCH(E51,Events!$J:$J,0)),"")</f>
        <v/>
      </c>
      <c r="F55" s="147"/>
      <c r="G55" s="196" t="s">
        <v>162</v>
      </c>
      <c r="H55" s="197" t="str">
        <f>IFERROR(INDEX([1]Events!#REF!,MATCH(G55,[1]Events!#REF!,0)),"")</f>
        <v/>
      </c>
      <c r="I55" s="194"/>
      <c r="J55" s="195"/>
      <c r="K55" s="146" t="str">
        <f ca="1">IFERROR(INDEX(Events!$A:$A,MATCH(K51,Events!$J:$J,0)),"")</f>
        <v/>
      </c>
      <c r="L55" s="165"/>
      <c r="M55" s="163" t="str">
        <f ca="1">IFERROR(INDEX(Events!$A:$A,MATCH(M51,Events!$J:$J,0)),"")</f>
        <v/>
      </c>
      <c r="N55" s="164"/>
      <c r="O55" s="165" t="str">
        <f ca="1">IFERROR(INDEX(Events!$A:$A,MATCH(O51,Events!$J:$J,0)),"")</f>
        <v/>
      </c>
      <c r="P55" s="147"/>
      <c r="R55" s="150"/>
    </row>
    <row r="56" spans="1:18" s="1" customFormat="1" x14ac:dyDescent="0.2">
      <c r="A56" s="143"/>
      <c r="C56" s="50">
        <f>IF(O51="","",IF(MONTH(O51+1)&lt;&gt;MONTH(O51),"",O51+1))</f>
        <v>46250</v>
      </c>
      <c r="D56" s="52" t="str">
        <f>IFERROR(INDEX(Events!$A:$A,MATCH(C56,Events!$G:$G,0)),"")</f>
        <v/>
      </c>
      <c r="E56" s="50">
        <f>IF(C56="","",IF(MONTH(C56+1)&lt;&gt;MONTH(C56),"",C56+1))</f>
        <v>46251</v>
      </c>
      <c r="F56" s="52" t="str">
        <f>IFERROR(INDEX(Events!$A:$A,MATCH(E56,Events!$G:$G,0)),"")</f>
        <v/>
      </c>
      <c r="G56" s="50">
        <f>IF(E56="","",IF(MONTH(E56+1)&lt;&gt;MONTH(E56),"",E56+1))</f>
        <v>46252</v>
      </c>
      <c r="H56" s="52" t="str">
        <f>IFERROR(INDEX(Events!$A:$A,MATCH(G56,Events!$G:$G,0)),"")</f>
        <v/>
      </c>
      <c r="I56" s="50">
        <f>IF(G56="","",IF(MONTH(G56+1)&lt;&gt;MONTH(G56),"",G56+1))</f>
        <v>46253</v>
      </c>
      <c r="J56" s="52" t="str">
        <f>IFERROR(INDEX(Events!$A:$A,MATCH(I56,Events!$G:$G,0)),"")</f>
        <v>Aviation Day</v>
      </c>
      <c r="K56" s="50">
        <f>IF(I56="","",IF(MONTH(I56+1)&lt;&gt;MONTH(I56),"",I56+1))</f>
        <v>46254</v>
      </c>
      <c r="L56" s="121" t="str">
        <f>IFERROR(INDEX(Events!$A:$A,MATCH(K56,Events!$G:$G,0)),"")</f>
        <v/>
      </c>
      <c r="M56" s="122">
        <f>IF(K56="","",IF(MONTH(K56+1)&lt;&gt;MONTH(K56),"",K56+1))</f>
        <v>46255</v>
      </c>
      <c r="N56" s="123" t="str">
        <f>IFERROR(INDEX(Events!$A:$A,MATCH(M56,Events!$G:$G,0)),"")</f>
        <v/>
      </c>
      <c r="O56" s="114">
        <f>IF(M56="","",IF(MONTH(M56+1)&lt;&gt;MONTH(M56),"",M56+1))</f>
        <v>46256</v>
      </c>
      <c r="P56" s="52" t="str">
        <f>IFERROR(INDEX(Events!$A:$A,MATCH(O56,Events!$G:$G,0)),"")</f>
        <v/>
      </c>
      <c r="R56" s="150" t="s">
        <v>133</v>
      </c>
    </row>
    <row r="57" spans="1:18" s="1" customFormat="1" ht="10.199999999999999" x14ac:dyDescent="0.2">
      <c r="A57" s="143"/>
      <c r="C57" s="168"/>
      <c r="D57" s="169"/>
      <c r="E57" s="156" t="s">
        <v>177</v>
      </c>
      <c r="F57" s="157"/>
      <c r="G57" s="155" t="s">
        <v>177</v>
      </c>
      <c r="H57" s="155"/>
      <c r="I57" s="156" t="s">
        <v>177</v>
      </c>
      <c r="J57" s="157"/>
      <c r="K57" s="155" t="s">
        <v>177</v>
      </c>
      <c r="L57" s="155"/>
      <c r="M57" s="156" t="s">
        <v>177</v>
      </c>
      <c r="N57" s="157"/>
      <c r="O57" s="165" t="str">
        <f ca="1">IFERROR(INDEX(Events!$A:$A,MATCH(O56,Events!$H:$H,0)),"")</f>
        <v/>
      </c>
      <c r="P57" s="147"/>
      <c r="R57" s="150"/>
    </row>
    <row r="58" spans="1:18" s="54" customFormat="1" ht="10.199999999999999" x14ac:dyDescent="0.2">
      <c r="A58" s="143"/>
      <c r="C58" s="171"/>
      <c r="D58" s="172"/>
      <c r="E58" s="160" t="s">
        <v>121</v>
      </c>
      <c r="F58" s="161"/>
      <c r="G58" s="162" t="s">
        <v>121</v>
      </c>
      <c r="H58" s="162"/>
      <c r="I58" s="160" t="s">
        <v>121</v>
      </c>
      <c r="J58" s="161"/>
      <c r="K58" s="162" t="s">
        <v>121</v>
      </c>
      <c r="L58" s="162"/>
      <c r="M58" s="160" t="s">
        <v>121</v>
      </c>
      <c r="N58" s="161"/>
      <c r="O58" s="165" t="str">
        <f ca="1">IFERROR(INDEX(Events!$A:$A,MATCH(O56,Events!$H:$H,0)),"")</f>
        <v/>
      </c>
      <c r="P58" s="147"/>
      <c r="R58" s="150"/>
    </row>
    <row r="59" spans="1:18" s="54" customFormat="1" ht="10.199999999999999" x14ac:dyDescent="0.2">
      <c r="A59" s="143"/>
      <c r="C59" s="171"/>
      <c r="D59" s="172"/>
      <c r="E59" s="163" t="s">
        <v>120</v>
      </c>
      <c r="F59" s="164"/>
      <c r="G59" s="165" t="s">
        <v>120</v>
      </c>
      <c r="H59" s="165"/>
      <c r="I59" s="163" t="s">
        <v>120</v>
      </c>
      <c r="J59" s="164"/>
      <c r="K59" s="165" t="s">
        <v>120</v>
      </c>
      <c r="L59" s="165"/>
      <c r="M59" s="163" t="s">
        <v>120</v>
      </c>
      <c r="N59" s="164"/>
      <c r="O59" s="165" t="str">
        <f ca="1">IFERROR(INDEX(Events!$A:$A,MATCH(O56,Events!$I:$I,0)),"")</f>
        <v/>
      </c>
      <c r="P59" s="147"/>
      <c r="R59" s="150"/>
    </row>
    <row r="60" spans="1:18" s="54" customFormat="1" ht="10.199999999999999" x14ac:dyDescent="0.2">
      <c r="A60" s="143"/>
      <c r="C60" s="146" t="str">
        <f ca="1">IFERROR(INDEX(Events!$A:$A,MATCH(C56,Events!$J:$J,0)),"")</f>
        <v/>
      </c>
      <c r="D60" s="147"/>
      <c r="E60" s="146" t="str">
        <f ca="1">IFERROR(INDEX(Events!$A:$A,MATCH(E56,Events!$J:$J,0)),"")</f>
        <v/>
      </c>
      <c r="F60" s="147"/>
      <c r="G60" s="146" t="str">
        <f ca="1">IFERROR(INDEX(Events!$A:$A,MATCH(G56,Events!$J:$J,0)),"")</f>
        <v/>
      </c>
      <c r="H60" s="147"/>
      <c r="I60" s="146" t="str">
        <f ca="1">IFERROR(INDEX(Events!$A:$A,MATCH(I56,Events!$J:$J,0)),"")</f>
        <v/>
      </c>
      <c r="J60" s="147"/>
      <c r="K60" s="146" t="str">
        <f ca="1">IFERROR(INDEX(Events!$A:$A,MATCH(K56,Events!$J:$J,0)),"")</f>
        <v/>
      </c>
      <c r="L60" s="165"/>
      <c r="M60" s="163" t="str">
        <f ca="1">IFERROR(INDEX(Events!$A:$A,MATCH(M56,Events!$J:$J,0)),"")</f>
        <v/>
      </c>
      <c r="N60" s="164"/>
      <c r="O60" s="165" t="str">
        <f ca="1">IFERROR(INDEX(Events!$A:$A,MATCH(O56,Events!$J:$J,0)),"")</f>
        <v/>
      </c>
      <c r="P60" s="147"/>
      <c r="R60" s="150"/>
    </row>
    <row r="61" spans="1:18" x14ac:dyDescent="0.25">
      <c r="A61" s="143"/>
      <c r="C61" s="50">
        <f>IF(O56="","",IF(MONTH(O56+1)&lt;&gt;MONTH(O56),"",O56+1))</f>
        <v>46257</v>
      </c>
      <c r="D61" s="52" t="str">
        <f>IFERROR(INDEX(Events!$A:$A,MATCH(C61,Events!$G:$G,0)),"")</f>
        <v/>
      </c>
      <c r="E61" s="50">
        <f>IF(C61="","",IF(MONTH(C61+1)&lt;&gt;MONTH(C61),"",C61+1))</f>
        <v>46258</v>
      </c>
      <c r="F61" s="52" t="str">
        <f>IFERROR(INDEX(Events!$A:$A,MATCH(E61,Events!$G:$G,0)),"")</f>
        <v/>
      </c>
      <c r="G61" s="50">
        <f>IF(E61="","",IF(MONTH(E61+1)&lt;&gt;MONTH(E61),"",E61+1))</f>
        <v>46259</v>
      </c>
      <c r="H61" s="52" t="str">
        <f>IFERROR(INDEX(Events!$A:$A,MATCH(G61,Events!$G:$G,0)),"")</f>
        <v/>
      </c>
      <c r="I61" s="50">
        <f>IF(G61="","",IF(MONTH(G61+1)&lt;&gt;MONTH(G61),"",G61+1))</f>
        <v>46260</v>
      </c>
      <c r="J61" s="52" t="str">
        <f>IFERROR(INDEX(Events!$A:$A,MATCH(I61,Events!$G:$G,0)),"")</f>
        <v/>
      </c>
      <c r="K61" s="50">
        <f>IF(I61="","",IF(MONTH(I61+1)&lt;&gt;MONTH(I61),"",I61+1))</f>
        <v>46261</v>
      </c>
      <c r="L61" s="121" t="str">
        <f>IFERROR(INDEX(Events!$A:$A,MATCH(K61,Events!$G:$G,0)),"")</f>
        <v/>
      </c>
      <c r="M61" s="122">
        <f>IF(K61="","",IF(MONTH(K61+1)&lt;&gt;MONTH(K61),"",K61+1))</f>
        <v>46262</v>
      </c>
      <c r="N61" s="123" t="str">
        <f>IFERROR(INDEX(Events!$A:$A,MATCH(M61,Events!$G:$G,0)),"")</f>
        <v/>
      </c>
      <c r="O61" s="114">
        <f>IF(M61="","",IF(MONTH(M61+1)&lt;&gt;MONTH(M61),"",M61+1))</f>
        <v>46263</v>
      </c>
      <c r="P61" s="52" t="str">
        <f>IFERROR(INDEX(Events!$A:$A,MATCH(O61,Events!$G:$G,0)),"")</f>
        <v/>
      </c>
      <c r="R61" s="150" t="s">
        <v>134</v>
      </c>
    </row>
    <row r="62" spans="1:18" x14ac:dyDescent="0.25">
      <c r="A62" s="143"/>
      <c r="C62" s="168"/>
      <c r="D62" s="169"/>
      <c r="E62" s="156" t="s">
        <v>177</v>
      </c>
      <c r="F62" s="157"/>
      <c r="G62" s="155" t="s">
        <v>177</v>
      </c>
      <c r="H62" s="155"/>
      <c r="I62" s="156" t="s">
        <v>177</v>
      </c>
      <c r="J62" s="157"/>
      <c r="K62" s="155" t="s">
        <v>177</v>
      </c>
      <c r="L62" s="155"/>
      <c r="M62" s="156" t="s">
        <v>177</v>
      </c>
      <c r="N62" s="157"/>
      <c r="O62" s="156" t="s">
        <v>177</v>
      </c>
      <c r="P62" s="157"/>
      <c r="R62" s="150"/>
    </row>
    <row r="63" spans="1:18" s="54" customFormat="1" ht="10.199999999999999" x14ac:dyDescent="0.2">
      <c r="A63" s="143"/>
      <c r="C63" s="171"/>
      <c r="D63" s="172"/>
      <c r="E63" s="160" t="s">
        <v>121</v>
      </c>
      <c r="F63" s="161"/>
      <c r="G63" s="162" t="s">
        <v>121</v>
      </c>
      <c r="H63" s="162"/>
      <c r="I63" s="160" t="s">
        <v>121</v>
      </c>
      <c r="J63" s="161"/>
      <c r="K63" s="162" t="s">
        <v>121</v>
      </c>
      <c r="L63" s="162"/>
      <c r="M63" s="160" t="s">
        <v>121</v>
      </c>
      <c r="N63" s="161"/>
      <c r="O63" s="160" t="s">
        <v>121</v>
      </c>
      <c r="P63" s="161"/>
      <c r="R63" s="150"/>
    </row>
    <row r="64" spans="1:18" s="54" customFormat="1" ht="10.199999999999999" x14ac:dyDescent="0.2">
      <c r="A64" s="143"/>
      <c r="C64" s="171"/>
      <c r="D64" s="172"/>
      <c r="E64" s="163" t="s">
        <v>120</v>
      </c>
      <c r="F64" s="164"/>
      <c r="G64" s="165" t="s">
        <v>120</v>
      </c>
      <c r="H64" s="165"/>
      <c r="I64" s="163" t="s">
        <v>120</v>
      </c>
      <c r="J64" s="164"/>
      <c r="K64" s="165" t="s">
        <v>120</v>
      </c>
      <c r="L64" s="165"/>
      <c r="M64" s="163" t="s">
        <v>120</v>
      </c>
      <c r="N64" s="164"/>
      <c r="O64" s="163" t="s">
        <v>120</v>
      </c>
      <c r="P64" s="164"/>
      <c r="R64" s="150"/>
    </row>
    <row r="65" spans="1:18" s="54" customFormat="1" ht="10.199999999999999" x14ac:dyDescent="0.2">
      <c r="A65" s="143"/>
      <c r="C65" s="146" t="str">
        <f ca="1">IFERROR(INDEX(Events!$A:$A,MATCH(C61,Events!$J:$J,0)),"")</f>
        <v/>
      </c>
      <c r="D65" s="147"/>
      <c r="E65" s="146" t="str">
        <f ca="1">IFERROR(INDEX(Events!$A:$A,MATCH(E61,Events!$J:$J,0)),"")</f>
        <v/>
      </c>
      <c r="F65" s="147"/>
      <c r="G65" s="180" t="str">
        <f ca="1">IFERROR(INDEX(Events!$A:$A,MATCH(G61,Events!$J:$J,0)),"")</f>
        <v/>
      </c>
      <c r="H65" s="181"/>
      <c r="I65" s="180" t="str">
        <f ca="1">IFERROR(INDEX(Events!$A:$A,MATCH(I61,Events!$J:$J,0)),"")</f>
        <v/>
      </c>
      <c r="J65" s="181"/>
      <c r="K65" s="180" t="str">
        <f ca="1">IFERROR(INDEX(Events!$A:$A,MATCH(K61,Events!$J:$J,0)),"")</f>
        <v/>
      </c>
      <c r="L65" s="182"/>
      <c r="M65" s="174" t="str">
        <f ca="1">IFERROR(INDEX(Events!$A:$A,MATCH(M61,Events!$J:$J,0)),"")</f>
        <v/>
      </c>
      <c r="N65" s="176"/>
      <c r="O65" s="182" t="str">
        <f ca="1">IFERROR(INDEX(Events!$A:$A,MATCH(O61,Events!$J:$J,0)),"")</f>
        <v/>
      </c>
      <c r="P65" s="181"/>
      <c r="R65" s="150"/>
    </row>
    <row r="66" spans="1:18" x14ac:dyDescent="0.25">
      <c r="C66" s="50">
        <f>IF(O61="","",IF(MONTH(O61+1)&lt;&gt;MONTH(O61),"",O61+1))</f>
        <v>46264</v>
      </c>
      <c r="D66" s="52" t="str">
        <f>IFERROR(INDEX(Events!$A:$A,MATCH(C66,Events!$G:$G,0)),"")</f>
        <v/>
      </c>
      <c r="E66" s="50">
        <v>31</v>
      </c>
      <c r="F66" s="52" t="str">
        <f>IFERROR(INDEX(Events!$A:$A,MATCH(E66,Events!$G:$G,0)),"")</f>
        <v/>
      </c>
    </row>
    <row r="67" spans="1:18" x14ac:dyDescent="0.25">
      <c r="C67" s="146" t="str">
        <f ca="1">IFERROR(INDEX(Events!$A:$A,MATCH(C66,Events!$H:$H,0)),"")</f>
        <v/>
      </c>
      <c r="D67" s="147"/>
      <c r="E67" s="156" t="s">
        <v>177</v>
      </c>
      <c r="F67" s="157"/>
    </row>
    <row r="68" spans="1:18" s="54" customFormat="1" ht="10.199999999999999" x14ac:dyDescent="0.2">
      <c r="C68" s="146" t="str">
        <f ca="1">IFERROR(INDEX(Events!$A:$A,MATCH(C66,Events!$H:$H,0)),"")</f>
        <v/>
      </c>
      <c r="D68" s="147"/>
      <c r="E68" s="160" t="s">
        <v>121</v>
      </c>
      <c r="F68" s="161"/>
      <c r="J68" s="55"/>
      <c r="K68" s="55"/>
      <c r="L68" s="55"/>
      <c r="M68" s="55"/>
      <c r="N68" s="55"/>
      <c r="O68" s="55"/>
      <c r="P68" s="55"/>
      <c r="R68" s="101"/>
    </row>
    <row r="69" spans="1:18" s="54" customFormat="1" ht="10.199999999999999" x14ac:dyDescent="0.2">
      <c r="C69" s="146" t="str">
        <f ca="1">IFERROR(INDEX(Events!$A:$A,MATCH(C66,Events!$I:$I,0)),"")</f>
        <v/>
      </c>
      <c r="D69" s="147"/>
      <c r="E69" s="163" t="s">
        <v>120</v>
      </c>
      <c r="F69" s="164"/>
      <c r="I69" s="142">
        <f>D72</f>
        <v>46266</v>
      </c>
      <c r="J69" s="142"/>
      <c r="K69" s="142"/>
      <c r="L69" s="142"/>
      <c r="M69" s="142"/>
      <c r="N69" s="142"/>
      <c r="O69" s="142"/>
      <c r="P69" s="142"/>
      <c r="R69" s="101"/>
    </row>
    <row r="70" spans="1:18" s="54" customFormat="1" ht="10.199999999999999" x14ac:dyDescent="0.2">
      <c r="C70" s="180" t="str">
        <f ca="1">IFERROR(INDEX(Events!$A:$A,MATCH(C66,Events!$J:$J,0)),"")</f>
        <v/>
      </c>
      <c r="D70" s="181"/>
      <c r="E70" s="180" t="str">
        <f ca="1">IFERROR(INDEX(Events!$A:$A,MATCH(E66,Events!$J:$J,0)),"")</f>
        <v/>
      </c>
      <c r="F70" s="181"/>
      <c r="I70" s="142"/>
      <c r="J70" s="142"/>
      <c r="K70" s="142"/>
      <c r="L70" s="142"/>
      <c r="M70" s="142"/>
      <c r="N70" s="142"/>
      <c r="O70" s="142"/>
      <c r="P70" s="142"/>
      <c r="R70" s="101"/>
    </row>
    <row r="71" spans="1:18" ht="18" customHeight="1" x14ac:dyDescent="0.25">
      <c r="I71" s="142"/>
      <c r="J71" s="142"/>
      <c r="K71" s="142"/>
      <c r="L71" s="142"/>
      <c r="M71" s="142"/>
      <c r="N71" s="142"/>
      <c r="O71" s="142"/>
      <c r="P71" s="142"/>
    </row>
    <row r="72" spans="1:18" hidden="1" outlineLevel="1" x14ac:dyDescent="0.25">
      <c r="C72" s="1" t="s">
        <v>1</v>
      </c>
      <c r="D72" s="6">
        <f>DATE(YEAR('3Q26'!$D$7),MONTH('Q1'!$D$7)+8,1)</f>
        <v>46266</v>
      </c>
      <c r="E72" s="1"/>
      <c r="F72" s="1"/>
      <c r="G72" s="1"/>
      <c r="H72" s="1"/>
      <c r="I72" s="1"/>
      <c r="J72" s="1"/>
      <c r="K72" s="1"/>
      <c r="L72" s="1"/>
      <c r="M72" s="1"/>
      <c r="N72" s="1"/>
      <c r="O72" s="1"/>
      <c r="P72" s="1"/>
    </row>
    <row r="73" spans="1:18" s="56" customFormat="1" ht="18" customHeight="1" collapsed="1" x14ac:dyDescent="0.25">
      <c r="A73" s="143">
        <f>D72</f>
        <v>46266</v>
      </c>
      <c r="C73" s="144" t="s">
        <v>109</v>
      </c>
      <c r="D73" s="145"/>
      <c r="E73" s="144" t="s">
        <v>110</v>
      </c>
      <c r="F73" s="145"/>
      <c r="G73" s="144" t="s">
        <v>111</v>
      </c>
      <c r="H73" s="145"/>
      <c r="I73" s="144" t="s">
        <v>112</v>
      </c>
      <c r="J73" s="145"/>
      <c r="K73" s="144" t="s">
        <v>113</v>
      </c>
      <c r="L73" s="145"/>
      <c r="M73" s="144" t="s">
        <v>114</v>
      </c>
      <c r="N73" s="145"/>
      <c r="O73" s="144" t="s">
        <v>115</v>
      </c>
      <c r="P73" s="145"/>
      <c r="R73" s="96" t="s">
        <v>132</v>
      </c>
    </row>
    <row r="74" spans="1:18" ht="13.2" customHeight="1" x14ac:dyDescent="0.25">
      <c r="A74" s="143"/>
      <c r="C74" s="50"/>
      <c r="D74" s="52" t="str">
        <f>IFERROR(INDEX(Events!$A:$A,MATCH(C74,Events!$G:$G,0)),"")</f>
        <v/>
      </c>
      <c r="E74" s="50"/>
      <c r="F74" s="52" t="str">
        <f>IFERROR(INDEX(Events!$A:$A,MATCH(E74,Events!$G:$G,0)),"")</f>
        <v/>
      </c>
      <c r="G74" s="107">
        <f>IF(E74="",IF(WEEKDAY($D$72,1)=MOD(startday+1,7)+1,$D$72,""),E74+1)</f>
        <v>46266</v>
      </c>
      <c r="H74" s="108" t="s">
        <v>141</v>
      </c>
      <c r="I74" s="50">
        <f>IF(G74="",IF(WEEKDAY($D$72,1)=MOD(startday+2,7)+1,$D$72,""),G74+1)</f>
        <v>46267</v>
      </c>
      <c r="J74" s="97" t="s">
        <v>142</v>
      </c>
      <c r="K74" s="50">
        <f>IF(I74="",IF(WEEKDAY($D$72,1)=MOD(startday+3,7)+1,$D$72,""),I74+1)</f>
        <v>46268</v>
      </c>
      <c r="L74" s="97" t="s">
        <v>143</v>
      </c>
      <c r="M74" s="50">
        <f>IF(K74="",IF(WEEKDAY($D$72,1)=MOD(startday+4,7)+1,$D$72,""),K74+1)</f>
        <v>46269</v>
      </c>
      <c r="N74" s="97" t="s">
        <v>144</v>
      </c>
      <c r="O74" s="50">
        <f>IF(M74="",IF(WEEKDAY($D$72,1)=MOD(startday+5,7)+1,$D$72,""),M74+1)</f>
        <v>46270</v>
      </c>
      <c r="P74" s="52" t="str">
        <f>IFERROR(INDEX(Events!$A:$A,MATCH(O74,Events!$G:$G,0)),"")</f>
        <v/>
      </c>
      <c r="R74" s="198" t="s">
        <v>136</v>
      </c>
    </row>
    <row r="75" spans="1:18" ht="13.2" customHeight="1" x14ac:dyDescent="0.25">
      <c r="A75" s="143"/>
      <c r="C75" s="104"/>
      <c r="D75" s="105"/>
      <c r="E75" s="104"/>
      <c r="F75" s="105"/>
      <c r="G75" s="199" t="s">
        <v>177</v>
      </c>
      <c r="H75" s="199"/>
      <c r="I75" s="187" t="s">
        <v>163</v>
      </c>
      <c r="J75" s="188" t="str">
        <f>IFERROR(INDEX(Events!#REF!,MATCH(I75,Events!G:G,0)),"")</f>
        <v/>
      </c>
      <c r="K75" s="155" t="s">
        <v>177</v>
      </c>
      <c r="L75" s="155"/>
      <c r="M75" s="156" t="s">
        <v>177</v>
      </c>
      <c r="N75" s="157"/>
      <c r="O75" s="146" t="str">
        <f ca="1">IFERROR(INDEX(Events!$A:$A,MATCH(O74,Events!$H:$H,0)),"")</f>
        <v/>
      </c>
      <c r="P75" s="147"/>
      <c r="R75" s="150"/>
    </row>
    <row r="76" spans="1:18" s="54" customFormat="1" ht="10.199999999999999" customHeight="1" x14ac:dyDescent="0.2">
      <c r="A76" s="143"/>
      <c r="C76" s="146" t="str">
        <f ca="1">IFERROR(INDEX(Events!$A:$A,MATCH(C74,Events!$H:$H,0)),"")</f>
        <v/>
      </c>
      <c r="D76" s="147"/>
      <c r="E76" s="146" t="str">
        <f ca="1">IFERROR(INDEX(Events!$A:$A,MATCH(E74,Events!$H:$H,0)),"")</f>
        <v/>
      </c>
      <c r="F76" s="147"/>
      <c r="G76" s="200" t="s">
        <v>121</v>
      </c>
      <c r="H76" s="200"/>
      <c r="I76" s="155" t="s">
        <v>177</v>
      </c>
      <c r="J76" s="155"/>
      <c r="K76" s="162" t="s">
        <v>121</v>
      </c>
      <c r="L76" s="162"/>
      <c r="M76" s="160" t="s">
        <v>121</v>
      </c>
      <c r="N76" s="161"/>
      <c r="O76" s="146" t="str">
        <f ca="1">IFERROR(INDEX(Events!$A:$A,MATCH(O74,Events!$H:$H,0)),"")</f>
        <v/>
      </c>
      <c r="P76" s="147"/>
      <c r="R76" s="150"/>
    </row>
    <row r="77" spans="1:18" s="54" customFormat="1" ht="10.199999999999999" customHeight="1" x14ac:dyDescent="0.2">
      <c r="A77" s="143"/>
      <c r="C77" s="146" t="str">
        <f ca="1">IFERROR(INDEX(Events!$A:$A,MATCH(C74,Events!$I:$I,0)),"")</f>
        <v/>
      </c>
      <c r="D77" s="147"/>
      <c r="E77" s="146" t="str">
        <f ca="1">IFERROR(INDEX(Events!$A:$A,MATCH(E74,Events!$I:$I,0)),"")</f>
        <v/>
      </c>
      <c r="F77" s="147"/>
      <c r="G77" s="200" t="s">
        <v>120</v>
      </c>
      <c r="H77" s="200"/>
      <c r="I77" s="162" t="s">
        <v>121</v>
      </c>
      <c r="J77" s="162"/>
      <c r="K77" s="165" t="s">
        <v>120</v>
      </c>
      <c r="L77" s="165"/>
      <c r="M77" s="163" t="s">
        <v>120</v>
      </c>
      <c r="N77" s="164"/>
      <c r="O77" s="146" t="str">
        <f ca="1">IFERROR(INDEX(Events!$A:$A,MATCH(O74,Events!$I:$I,0)),"")</f>
        <v/>
      </c>
      <c r="P77" s="147"/>
      <c r="R77" s="150"/>
    </row>
    <row r="78" spans="1:18" s="54" customFormat="1" ht="10.199999999999999" customHeight="1" x14ac:dyDescent="0.2">
      <c r="A78" s="143"/>
      <c r="C78" s="146" t="str">
        <f ca="1">IFERROR(INDEX(Events!$A:$A,MATCH(C74,Events!$J:$J,0)),"")</f>
        <v/>
      </c>
      <c r="D78" s="147"/>
      <c r="E78" s="146" t="str">
        <f ca="1">IFERROR(INDEX(Events!$A:$A,MATCH(E74,Events!$J:$J,0)),"")</f>
        <v/>
      </c>
      <c r="F78" s="147"/>
      <c r="G78" s="191" t="s">
        <v>180</v>
      </c>
      <c r="H78" s="192"/>
      <c r="I78" s="165" t="s">
        <v>120</v>
      </c>
      <c r="J78" s="165"/>
      <c r="K78" s="146" t="str">
        <f ca="1">IFERROR(INDEX(Events!$A:$A,MATCH(K74,Events!$J:$J,0)),"")</f>
        <v/>
      </c>
      <c r="L78" s="147"/>
      <c r="M78" s="146" t="str">
        <f ca="1">IFERROR(INDEX(Events!$A:$A,MATCH(M74,Events!$J:$J,0)),"")</f>
        <v/>
      </c>
      <c r="N78" s="147"/>
      <c r="O78" s="146" t="str">
        <f ca="1">IFERROR(INDEX(Events!$A:$A,MATCH(O74,Events!$J:$J,0)),"")</f>
        <v/>
      </c>
      <c r="P78" s="147"/>
      <c r="R78" s="150"/>
    </row>
    <row r="79" spans="1:18" x14ac:dyDescent="0.25">
      <c r="A79" s="143"/>
      <c r="C79" s="50">
        <f>IF(O74="","",IF(MONTH(O74+1)&lt;&gt;MONTH(O74),"",O74+1))</f>
        <v>46271</v>
      </c>
      <c r="D79" s="52" t="str">
        <f>IFERROR(INDEX(Events!$A:$A,MATCH(C79,Events!$G:$G,0)),"")</f>
        <v/>
      </c>
      <c r="E79" s="50">
        <f>IF(C79="","",IF(MONTH(C79+1)&lt;&gt;MONTH(C79),"",C79+1))</f>
        <v>46272</v>
      </c>
      <c r="F79" s="97" t="s">
        <v>145</v>
      </c>
      <c r="G79" s="50">
        <f>IF(E79="","",IF(MONTH(E79+1)&lt;&gt;MONTH(E79),"",E79+1))</f>
        <v>46273</v>
      </c>
      <c r="H79" s="97" t="s">
        <v>146</v>
      </c>
      <c r="I79" s="50">
        <f>IF(G79="","",IF(MONTH(G79+1)&lt;&gt;MONTH(G79),"",G79+1))</f>
        <v>46274</v>
      </c>
      <c r="J79" s="97" t="s">
        <v>147</v>
      </c>
      <c r="K79" s="50">
        <f>IF(I79="","",IF(MONTH(I79+1)&lt;&gt;MONTH(I79),"",I79+1))</f>
        <v>46275</v>
      </c>
      <c r="L79" s="97" t="s">
        <v>151</v>
      </c>
      <c r="M79" s="50">
        <f>IF(K79="","",IF(MONTH(K79+1)&lt;&gt;MONTH(K79),"",K79+1))</f>
        <v>46276</v>
      </c>
      <c r="N79" s="97" t="s">
        <v>153</v>
      </c>
      <c r="O79" s="50">
        <f>IF(M79="","",IF(MONTH(M79+1)&lt;&gt;MONTH(M79),"",M79+1))</f>
        <v>46277</v>
      </c>
      <c r="P79" s="52" t="str">
        <f>IFERROR(INDEX(Events!$A:$A,MATCH(O79,Events!$G:$G,0)),"")</f>
        <v>Rosh Hashanah</v>
      </c>
      <c r="R79" s="150" t="s">
        <v>137</v>
      </c>
    </row>
    <row r="80" spans="1:18" x14ac:dyDescent="0.25">
      <c r="A80" s="143"/>
      <c r="C80" s="168"/>
      <c r="D80" s="201"/>
      <c r="E80" s="156" t="s">
        <v>177</v>
      </c>
      <c r="F80" s="157"/>
      <c r="G80" s="155" t="s">
        <v>177</v>
      </c>
      <c r="H80" s="155"/>
      <c r="I80" s="156" t="s">
        <v>177</v>
      </c>
      <c r="J80" s="157"/>
      <c r="K80" s="155" t="s">
        <v>177</v>
      </c>
      <c r="L80" s="155"/>
      <c r="M80" s="156" t="s">
        <v>177</v>
      </c>
      <c r="N80" s="157"/>
      <c r="O80" s="146" t="str">
        <f ca="1">IFERROR(INDEX(Events!$A:$A,MATCH(O79,Events!$H:$H,0)),"")</f>
        <v/>
      </c>
      <c r="P80" s="147"/>
      <c r="R80" s="150"/>
    </row>
    <row r="81" spans="1:18" s="54" customFormat="1" ht="10.199999999999999" customHeight="1" x14ac:dyDescent="0.2">
      <c r="A81" s="143"/>
      <c r="C81" s="171"/>
      <c r="D81" s="202"/>
      <c r="E81" s="160" t="s">
        <v>121</v>
      </c>
      <c r="F81" s="161"/>
      <c r="G81" s="162" t="s">
        <v>121</v>
      </c>
      <c r="H81" s="162"/>
      <c r="I81" s="160" t="s">
        <v>121</v>
      </c>
      <c r="J81" s="161"/>
      <c r="K81" s="162" t="s">
        <v>121</v>
      </c>
      <c r="L81" s="162"/>
      <c r="M81" s="160" t="s">
        <v>121</v>
      </c>
      <c r="N81" s="161"/>
      <c r="O81" s="146" t="str">
        <f ca="1">IFERROR(INDEX(Events!$A:$A,MATCH(O79,Events!$H:$H,0)),"")</f>
        <v/>
      </c>
      <c r="P81" s="147"/>
      <c r="R81" s="150"/>
    </row>
    <row r="82" spans="1:18" s="54" customFormat="1" ht="10.199999999999999" customHeight="1" x14ac:dyDescent="0.2">
      <c r="A82" s="143"/>
      <c r="C82" s="171"/>
      <c r="D82" s="202"/>
      <c r="E82" s="163" t="s">
        <v>120</v>
      </c>
      <c r="F82" s="164"/>
      <c r="G82" s="165" t="s">
        <v>120</v>
      </c>
      <c r="H82" s="165"/>
      <c r="I82" s="163" t="s">
        <v>120</v>
      </c>
      <c r="J82" s="164"/>
      <c r="K82" s="165" t="s">
        <v>120</v>
      </c>
      <c r="L82" s="165"/>
      <c r="M82" s="163" t="s">
        <v>120</v>
      </c>
      <c r="N82" s="164"/>
      <c r="O82" s="146" t="str">
        <f ca="1">IFERROR(INDEX(Events!$A:$A,MATCH(O79,Events!$I:$I,0)),"")</f>
        <v/>
      </c>
      <c r="P82" s="147"/>
      <c r="R82" s="150"/>
    </row>
    <row r="83" spans="1:18" s="54" customFormat="1" ht="10.199999999999999" customHeight="1" x14ac:dyDescent="0.2">
      <c r="A83" s="143"/>
      <c r="C83" s="146" t="str">
        <f ca="1">IFERROR(INDEX(Events!$A:$A,MATCH(C79,Events!$J:$J,0)),"")</f>
        <v/>
      </c>
      <c r="D83" s="147"/>
      <c r="E83" s="146" t="str">
        <f ca="1">IFERROR(INDEX(Events!$A:$A,MATCH(E79,Events!$J:$J,0)),"")</f>
        <v/>
      </c>
      <c r="F83" s="147"/>
      <c r="G83" s="193" t="s">
        <v>119</v>
      </c>
      <c r="H83" s="167" t="str">
        <f>IFERROR(INDEX([1]Events!#REF!,MATCH(G83,[1]Events!#REF!,0)),"")</f>
        <v/>
      </c>
      <c r="I83" s="203" t="s">
        <v>189</v>
      </c>
      <c r="J83" s="204"/>
      <c r="K83" s="196" t="s">
        <v>162</v>
      </c>
      <c r="L83" s="197" t="str">
        <f>IFERROR(INDEX([1]Events!#REF!,MATCH(K83,[1]Events!#REF!,0)),"")</f>
        <v/>
      </c>
      <c r="M83" s="146" t="str">
        <f ca="1">IFERROR(INDEX(Events!$A:$A,MATCH(M79,Events!$J:$J,0)),"")</f>
        <v/>
      </c>
      <c r="N83" s="147"/>
      <c r="O83" s="146" t="str">
        <f ca="1">IFERROR(INDEX(Events!$A:$A,MATCH(O79,Events!$J:$J,0)),"")</f>
        <v/>
      </c>
      <c r="P83" s="147"/>
      <c r="R83" s="150"/>
    </row>
    <row r="84" spans="1:18" x14ac:dyDescent="0.25">
      <c r="A84" s="143"/>
      <c r="C84" s="50">
        <f>IF(O79="","",IF(MONTH(O79+1)&lt;&gt;MONTH(O79),"",O79+1))</f>
        <v>46278</v>
      </c>
      <c r="D84" s="52" t="str">
        <f>IFERROR(INDEX(Events!$A:$A,MATCH(C84,Events!$G:$G,0)),"")</f>
        <v>Grandparents Day</v>
      </c>
      <c r="E84" s="50">
        <f>IF(C84="","",IF(MONTH(C84+1)&lt;&gt;MONTH(C84),"",C84+1))</f>
        <v>46279</v>
      </c>
      <c r="F84" s="52" t="str">
        <f>IFERROR(INDEX(Events!$A:$A,MATCH(E84,Events!$G:$G,0)),"")</f>
        <v/>
      </c>
      <c r="G84" s="50">
        <f>IF(E84="","",IF(MONTH(E84+1)&lt;&gt;MONTH(E84),"",E84+1))</f>
        <v>46280</v>
      </c>
      <c r="H84" s="52" t="str">
        <f>IFERROR(INDEX(Events!$A:$A,MATCH(G84,Events!$G:$G,0)),"")</f>
        <v/>
      </c>
      <c r="I84" s="50">
        <f>IF(G84="","",IF(MONTH(G84+1)&lt;&gt;MONTH(G84),"",G84+1))</f>
        <v>46281</v>
      </c>
      <c r="J84" s="52" t="str">
        <f>IFERROR(INDEX(Events!$A:$A,MATCH(I84,Events!$G:$G,0)),"")</f>
        <v/>
      </c>
      <c r="K84" s="50">
        <f>IF(I84="","",IF(MONTH(I84+1)&lt;&gt;MONTH(I84),"",I84+1))</f>
        <v>46282</v>
      </c>
      <c r="L84" s="97" t="s">
        <v>168</v>
      </c>
      <c r="M84" s="50">
        <f>IF(K84="","",IF(MONTH(K84+1)&lt;&gt;MONTH(K84),"",K84+1))</f>
        <v>46283</v>
      </c>
      <c r="N84" s="97" t="s">
        <v>167</v>
      </c>
      <c r="O84" s="50">
        <f>IF(M84="","",IF(MONTH(M84+1)&lt;&gt;MONTH(M84),"",M84+1))</f>
        <v>46284</v>
      </c>
      <c r="P84" s="52" t="str">
        <f>IFERROR(INDEX(Events!$A:$A,MATCH(O84,Events!$G:$G,0)),"")</f>
        <v/>
      </c>
      <c r="R84" s="150" t="s">
        <v>138</v>
      </c>
    </row>
    <row r="85" spans="1:18" x14ac:dyDescent="0.25">
      <c r="A85" s="143"/>
      <c r="C85" s="168"/>
      <c r="D85" s="201"/>
      <c r="E85" s="155" t="s">
        <v>177</v>
      </c>
      <c r="F85" s="155"/>
      <c r="G85" s="156" t="s">
        <v>177</v>
      </c>
      <c r="H85" s="157"/>
      <c r="I85" s="155" t="s">
        <v>177</v>
      </c>
      <c r="J85" s="155"/>
      <c r="K85" s="156" t="s">
        <v>177</v>
      </c>
      <c r="L85" s="157"/>
      <c r="M85" s="155" t="s">
        <v>177</v>
      </c>
      <c r="N85" s="155"/>
      <c r="O85" s="156" t="s">
        <v>177</v>
      </c>
      <c r="P85" s="157"/>
      <c r="R85" s="150"/>
    </row>
    <row r="86" spans="1:18" s="54" customFormat="1" ht="10.199999999999999" customHeight="1" x14ac:dyDescent="0.2">
      <c r="A86" s="143"/>
      <c r="C86" s="171"/>
      <c r="D86" s="202"/>
      <c r="E86" s="162" t="s">
        <v>121</v>
      </c>
      <c r="F86" s="162"/>
      <c r="G86" s="160" t="s">
        <v>121</v>
      </c>
      <c r="H86" s="161"/>
      <c r="I86" s="162" t="s">
        <v>121</v>
      </c>
      <c r="J86" s="162"/>
      <c r="K86" s="160" t="s">
        <v>121</v>
      </c>
      <c r="L86" s="161"/>
      <c r="M86" s="162" t="s">
        <v>121</v>
      </c>
      <c r="N86" s="162"/>
      <c r="O86" s="160" t="s">
        <v>121</v>
      </c>
      <c r="P86" s="161"/>
      <c r="R86" s="150"/>
    </row>
    <row r="87" spans="1:18" s="54" customFormat="1" ht="10.199999999999999" customHeight="1" x14ac:dyDescent="0.2">
      <c r="A87" s="143"/>
      <c r="C87" s="171"/>
      <c r="D87" s="202"/>
      <c r="E87" s="165" t="s">
        <v>120</v>
      </c>
      <c r="F87" s="165"/>
      <c r="G87" s="163" t="s">
        <v>120</v>
      </c>
      <c r="H87" s="164"/>
      <c r="I87" s="165" t="s">
        <v>120</v>
      </c>
      <c r="J87" s="165"/>
      <c r="K87" s="163" t="s">
        <v>120</v>
      </c>
      <c r="L87" s="164"/>
      <c r="M87" s="165" t="s">
        <v>120</v>
      </c>
      <c r="N87" s="165"/>
      <c r="O87" s="163" t="s">
        <v>120</v>
      </c>
      <c r="P87" s="164"/>
      <c r="R87" s="150"/>
    </row>
    <row r="88" spans="1:18" s="54" customFormat="1" ht="10.199999999999999" customHeight="1" x14ac:dyDescent="0.2">
      <c r="A88" s="143"/>
      <c r="C88" s="146" t="str">
        <f ca="1">IFERROR(INDEX(Events!$A:$A,MATCH(C84,Events!$J:$J,0)),"")</f>
        <v/>
      </c>
      <c r="D88" s="147"/>
      <c r="E88" s="146" t="str">
        <f ca="1">IFERROR(INDEX(Events!$A:$A,MATCH(E84,Events!$J:$J,0)),"")</f>
        <v/>
      </c>
      <c r="F88" s="147"/>
      <c r="G88" s="146" t="str">
        <f ca="1">IFERROR(INDEX(Events!$A:$A,MATCH(G84,Events!$J:$J,0)),"")</f>
        <v/>
      </c>
      <c r="H88" s="147"/>
      <c r="I88" s="203" t="s">
        <v>184</v>
      </c>
      <c r="J88" s="204"/>
      <c r="K88" s="146" t="str">
        <f ca="1">IFERROR(INDEX(Events!$A:$A,MATCH(K84,Events!$J:$J,0)),"")</f>
        <v/>
      </c>
      <c r="L88" s="147"/>
      <c r="M88" s="146" t="str">
        <f ca="1">IFERROR(INDEX(Events!$A:$A,MATCH(M84,Events!$J:$J,0)),"")</f>
        <v/>
      </c>
      <c r="N88" s="147"/>
      <c r="O88" s="146" t="str">
        <f ca="1">IFERROR(INDEX(Events!$A:$A,MATCH(O84,Events!$J:$J,0)),"")</f>
        <v/>
      </c>
      <c r="P88" s="147"/>
      <c r="R88" s="150"/>
    </row>
    <row r="89" spans="1:18" x14ac:dyDescent="0.25">
      <c r="A89" s="143"/>
      <c r="C89" s="50">
        <f>IF(O84="","",IF(MONTH(O84+1)&lt;&gt;MONTH(O84),"",O84+1))</f>
        <v>46285</v>
      </c>
      <c r="D89" s="52" t="str">
        <f>IFERROR(INDEX(Events!$A:$A,MATCH(C89,Events!$G:$G,0)),"")</f>
        <v/>
      </c>
      <c r="E89" s="50">
        <f>IF(C89="","",IF(MONTH(C89+1)&lt;&gt;MONTH(C89),"",C89+1))</f>
        <v>46286</v>
      </c>
      <c r="F89" s="97" t="s">
        <v>166</v>
      </c>
      <c r="G89" s="50">
        <f>IF(E89="","",IF(MONTH(E89+1)&lt;&gt;MONTH(E89),"",E89+1))</f>
        <v>46287</v>
      </c>
      <c r="H89" s="97" t="s">
        <v>161</v>
      </c>
      <c r="I89" s="50">
        <f>IF(G89="","",IF(MONTH(G89+1)&lt;&gt;MONTH(G89),"",G89+1))</f>
        <v>46288</v>
      </c>
      <c r="J89" s="97" t="s">
        <v>160</v>
      </c>
      <c r="K89" s="50">
        <f>IF(I89="","",IF(MONTH(I89+1)&lt;&gt;MONTH(I89),"",I89+1))</f>
        <v>46289</v>
      </c>
      <c r="L89" s="97" t="s">
        <v>159</v>
      </c>
      <c r="M89" s="50">
        <f>IF(K89="","",IF(MONTH(K89+1)&lt;&gt;MONTH(K89),"",K89+1))</f>
        <v>46290</v>
      </c>
      <c r="N89" s="97" t="s">
        <v>158</v>
      </c>
      <c r="O89" s="50">
        <f>IF(M89="","",IF(MONTH(M89+1)&lt;&gt;MONTH(M89),"",M89+1))</f>
        <v>46291</v>
      </c>
      <c r="P89" s="52" t="str">
        <f>IFERROR(INDEX(Events!$A:$A,MATCH(O89,Events!$G:$G,0)),"")</f>
        <v/>
      </c>
      <c r="R89" s="150" t="s">
        <v>139</v>
      </c>
    </row>
    <row r="90" spans="1:18" x14ac:dyDescent="0.25">
      <c r="A90" s="143"/>
      <c r="C90" s="168"/>
      <c r="D90" s="201"/>
      <c r="E90" s="155" t="s">
        <v>177</v>
      </c>
      <c r="F90" s="155"/>
      <c r="G90" s="156" t="s">
        <v>177</v>
      </c>
      <c r="H90" s="157"/>
      <c r="I90" s="155" t="s">
        <v>177</v>
      </c>
      <c r="J90" s="155"/>
      <c r="K90" s="156" t="s">
        <v>177</v>
      </c>
      <c r="L90" s="157"/>
      <c r="M90" s="155" t="s">
        <v>177</v>
      </c>
      <c r="N90" s="155"/>
      <c r="O90" s="156" t="s">
        <v>177</v>
      </c>
      <c r="P90" s="157"/>
      <c r="R90" s="150"/>
    </row>
    <row r="91" spans="1:18" s="54" customFormat="1" ht="10.199999999999999" customHeight="1" x14ac:dyDescent="0.2">
      <c r="A91" s="143"/>
      <c r="C91" s="171"/>
      <c r="D91" s="202"/>
      <c r="E91" s="162" t="s">
        <v>121</v>
      </c>
      <c r="F91" s="162"/>
      <c r="G91" s="160" t="s">
        <v>121</v>
      </c>
      <c r="H91" s="161"/>
      <c r="I91" s="162" t="s">
        <v>121</v>
      </c>
      <c r="J91" s="162"/>
      <c r="K91" s="160" t="s">
        <v>121</v>
      </c>
      <c r="L91" s="161"/>
      <c r="M91" s="162" t="s">
        <v>121</v>
      </c>
      <c r="N91" s="162"/>
      <c r="O91" s="160" t="s">
        <v>121</v>
      </c>
      <c r="P91" s="161"/>
      <c r="R91" s="150"/>
    </row>
    <row r="92" spans="1:18" s="54" customFormat="1" ht="10.199999999999999" customHeight="1" x14ac:dyDescent="0.2">
      <c r="A92" s="143"/>
      <c r="C92" s="171"/>
      <c r="D92" s="202"/>
      <c r="E92" s="165" t="s">
        <v>120</v>
      </c>
      <c r="F92" s="165"/>
      <c r="G92" s="163" t="s">
        <v>120</v>
      </c>
      <c r="H92" s="164"/>
      <c r="I92" s="165" t="s">
        <v>120</v>
      </c>
      <c r="J92" s="165"/>
      <c r="K92" s="163" t="s">
        <v>120</v>
      </c>
      <c r="L92" s="164"/>
      <c r="M92" s="165" t="s">
        <v>120</v>
      </c>
      <c r="N92" s="165"/>
      <c r="O92" s="163" t="s">
        <v>120</v>
      </c>
      <c r="P92" s="164"/>
      <c r="R92" s="150"/>
    </row>
    <row r="93" spans="1:18" s="54" customFormat="1" ht="10.199999999999999" customHeight="1" x14ac:dyDescent="0.2">
      <c r="A93" s="143"/>
      <c r="C93" s="146" t="str">
        <f ca="1">IFERROR(INDEX(Events!$A:$A,MATCH(C89,Events!$J:$J,0)),"")</f>
        <v/>
      </c>
      <c r="D93" s="147"/>
      <c r="E93" s="146" t="str">
        <f ca="1">IFERROR(INDEX(Events!$A:$A,MATCH(E89,Events!$J:$J,0)),"")</f>
        <v/>
      </c>
      <c r="F93" s="147"/>
      <c r="G93" s="146" t="str">
        <f ca="1">IFERROR(INDEX(Events!$A:$A,MATCH(G89,Events!$J:$J,0)),"")</f>
        <v/>
      </c>
      <c r="H93" s="147"/>
      <c r="I93" s="146" t="str">
        <f ca="1">IFERROR(INDEX(Events!$A:$A,MATCH(I89,Events!$J:$J,0)),"")</f>
        <v/>
      </c>
      <c r="J93" s="147"/>
      <c r="K93" s="146" t="str">
        <f ca="1">IFERROR(INDEX(Events!$A:$A,MATCH(K89,Events!$J:$J,0)),"")</f>
        <v/>
      </c>
      <c r="L93" s="147"/>
      <c r="M93" s="146" t="str">
        <f ca="1">IFERROR(INDEX(Events!$A:$A,MATCH(M89,Events!$J:$J,0)),"")</f>
        <v/>
      </c>
      <c r="N93" s="147"/>
      <c r="O93" s="146" t="str">
        <f ca="1">IFERROR(INDEX(Events!$A:$A,MATCH(O89,Events!$J:$J,0)),"")</f>
        <v/>
      </c>
      <c r="P93" s="147"/>
      <c r="R93" s="150"/>
    </row>
    <row r="94" spans="1:18" x14ac:dyDescent="0.25">
      <c r="A94" s="143"/>
      <c r="C94" s="50">
        <f>IF(O89="","",IF(MONTH(O89+1)&lt;&gt;MONTH(O89),"",O89+1))</f>
        <v>46292</v>
      </c>
      <c r="D94" s="52" t="str">
        <f>IFERROR(INDEX(Events!$A:$A,MATCH(C94,Events!$G:$G,0)),"")</f>
        <v/>
      </c>
      <c r="E94" s="50">
        <f>IF(C94="","",IF(MONTH(C94+1)&lt;&gt;MONTH(C94),"",C94+1))</f>
        <v>46293</v>
      </c>
      <c r="F94" s="97" t="s">
        <v>157</v>
      </c>
      <c r="G94" s="50">
        <f>IF(E94="","",IF(MONTH(E94+1)&lt;&gt;MONTH(E94),"",E94+1))</f>
        <v>46294</v>
      </c>
      <c r="H94" s="97" t="s">
        <v>148</v>
      </c>
      <c r="I94" s="50">
        <v>30</v>
      </c>
      <c r="J94" s="97" t="s">
        <v>149</v>
      </c>
      <c r="K94" s="124">
        <v>1</v>
      </c>
      <c r="L94" s="125" t="s">
        <v>141</v>
      </c>
      <c r="M94" s="50">
        <f>IF(K94="","",IF(MONTH(K94+1)&lt;&gt;MONTH(K94),"",K94+1))</f>
        <v>2</v>
      </c>
      <c r="N94" s="97" t="s">
        <v>142</v>
      </c>
      <c r="O94" s="50">
        <f>IF(M94="","",IF(MONTH(M94+1)&lt;&gt;MONTH(M94),"",M94+1))</f>
        <v>3</v>
      </c>
      <c r="P94" s="52" t="str">
        <f>IFERROR(INDEX(Events!$A:$A,MATCH(O94,Events!$G:$G,0)),"")</f>
        <v/>
      </c>
      <c r="R94" s="184" t="s">
        <v>140</v>
      </c>
    </row>
    <row r="95" spans="1:18" x14ac:dyDescent="0.25">
      <c r="A95" s="143"/>
      <c r="C95" s="163"/>
      <c r="D95" s="164"/>
      <c r="E95" s="155" t="s">
        <v>177</v>
      </c>
      <c r="F95" s="155"/>
      <c r="G95" s="156" t="s">
        <v>177</v>
      </c>
      <c r="H95" s="155"/>
      <c r="I95" s="156" t="s">
        <v>116</v>
      </c>
      <c r="J95" s="155" t="str">
        <f>IFERROR(INDEX([1]Events!#REF!,MATCH(I95,[1]Events!G:G,0)),"")</f>
        <v/>
      </c>
      <c r="K95" s="205" t="s">
        <v>116</v>
      </c>
      <c r="L95" s="206" t="str">
        <f>IFERROR(INDEX([1]Events!#REF!,MATCH(K95,[1]Events!I:I,0)),"")</f>
        <v/>
      </c>
      <c r="M95" s="104"/>
      <c r="N95" s="105"/>
      <c r="O95" s="104"/>
      <c r="P95" s="105"/>
      <c r="R95" s="184"/>
    </row>
    <row r="96" spans="1:18" s="54" customFormat="1" ht="10.199999999999999" customHeight="1" x14ac:dyDescent="0.2">
      <c r="A96" s="143"/>
      <c r="C96" s="163"/>
      <c r="D96" s="164"/>
      <c r="E96" s="162" t="s">
        <v>121</v>
      </c>
      <c r="F96" s="162"/>
      <c r="G96" s="160" t="s">
        <v>121</v>
      </c>
      <c r="H96" s="162"/>
      <c r="I96" s="160" t="s">
        <v>177</v>
      </c>
      <c r="J96" s="162"/>
      <c r="K96" s="148" t="s">
        <v>177</v>
      </c>
      <c r="L96" s="149"/>
      <c r="M96" s="146" t="str">
        <f ca="1">IFERROR(INDEX(Events!$A:$A,MATCH(M94,Events!$H:$H,0)),"")</f>
        <v/>
      </c>
      <c r="N96" s="147"/>
      <c r="O96" s="146" t="str">
        <f ca="1">IFERROR(INDEX(Events!$A:$A,MATCH(O94,Events!$H:$H,0)),"")</f>
        <v/>
      </c>
      <c r="P96" s="147"/>
      <c r="R96" s="184"/>
    </row>
    <row r="97" spans="1:18" s="54" customFormat="1" ht="10.199999999999999" customHeight="1" x14ac:dyDescent="0.2">
      <c r="A97" s="143"/>
      <c r="C97" s="163"/>
      <c r="D97" s="164"/>
      <c r="E97" s="165" t="s">
        <v>120</v>
      </c>
      <c r="F97" s="165"/>
      <c r="G97" s="163" t="s">
        <v>120</v>
      </c>
      <c r="H97" s="165"/>
      <c r="I97" s="163" t="s">
        <v>123</v>
      </c>
      <c r="J97" s="165"/>
      <c r="K97" s="205" t="s">
        <v>123</v>
      </c>
      <c r="L97" s="206"/>
      <c r="M97" s="146" t="str">
        <f ca="1">IFERROR(INDEX(Events!$A:$A,MATCH(M94,Events!$I:$I,0)),"")</f>
        <v/>
      </c>
      <c r="N97" s="147"/>
      <c r="O97" s="146" t="str">
        <f ca="1">IFERROR(INDEX(Events!$A:$A,MATCH(O94,Events!$I:$I,0)),"")</f>
        <v/>
      </c>
      <c r="P97" s="147"/>
      <c r="R97" s="184"/>
    </row>
    <row r="98" spans="1:18" s="54" customFormat="1" ht="10.199999999999999" customHeight="1" x14ac:dyDescent="0.2">
      <c r="A98" s="143"/>
      <c r="C98" s="180"/>
      <c r="D98" s="181"/>
      <c r="E98" s="180" t="str">
        <f ca="1">IFERROR(INDEX(Events!$A:$A,MATCH(E94,Events!$J:$J,0)),"")</f>
        <v/>
      </c>
      <c r="F98" s="181"/>
      <c r="G98" s="180" t="str">
        <f ca="1">IFERROR(INDEX(Events!$A:$A,MATCH(G94,Events!$J:$J,0)),"")</f>
        <v/>
      </c>
      <c r="H98" s="182"/>
      <c r="I98" s="180" t="str">
        <f ca="1">IFERROR(INDEX(Events!$A:$A,MATCH(I94,Events!$J:$J,0)),"")</f>
        <v/>
      </c>
      <c r="J98" s="182"/>
      <c r="K98" s="207" t="str">
        <f ca="1">IFERROR(INDEX(Events!$A:$A,MATCH(K94,Events!$J:$J,0)),"")</f>
        <v/>
      </c>
      <c r="L98" s="208"/>
      <c r="M98" s="180" t="str">
        <f ca="1">IFERROR(INDEX(Events!$A:$A,MATCH(M94,Events!$J:$J,0)),"")</f>
        <v/>
      </c>
      <c r="N98" s="181"/>
      <c r="O98" s="180" t="str">
        <f ca="1">IFERROR(INDEX(Events!$A:$A,MATCH(O94,Events!$J:$J,0)),"")</f>
        <v/>
      </c>
      <c r="P98" s="181"/>
      <c r="R98" s="184"/>
    </row>
    <row r="99" spans="1:18" x14ac:dyDescent="0.25">
      <c r="A99" s="143"/>
      <c r="C99" s="50">
        <f>IF(O94="","",IF(MONTH(O94+1)&lt;&gt;MONTH(O94),"",O94+1))</f>
        <v>4</v>
      </c>
      <c r="D99" s="52" t="str">
        <f>IFERROR(INDEX(Events!$A:$A,MATCH(C99,Events!$G:$G,0)),"")</f>
        <v/>
      </c>
      <c r="E99" s="50">
        <f>IF(C99="","",IF(MONTH(C99+1)&lt;&gt;MONTH(C99),"",C99+1))</f>
        <v>5</v>
      </c>
      <c r="F99" s="52" t="str">
        <f>IFERROR(INDEX(Events!$A:$A,MATCH(E99,Events!$G:$G,0)),"")</f>
        <v/>
      </c>
      <c r="G99" s="51"/>
      <c r="H99" s="5"/>
      <c r="I99" s="5"/>
      <c r="J99" s="5"/>
      <c r="K99" s="5"/>
      <c r="L99" s="5"/>
      <c r="R99" s="184"/>
    </row>
    <row r="100" spans="1:18" s="54" customFormat="1" ht="10.199999999999999" x14ac:dyDescent="0.2">
      <c r="A100" s="143"/>
      <c r="C100" s="146" t="str">
        <f ca="1">IFERROR(INDEX(Events!$A:$A,MATCH(C99,Events!$H:$H,0)),"")</f>
        <v/>
      </c>
      <c r="D100" s="147"/>
      <c r="E100" s="146" t="str">
        <f ca="1">IFERROR(INDEX(Events!$A:$A,MATCH(E99,Events!$H:$H,0)),"")</f>
        <v/>
      </c>
      <c r="F100" s="147"/>
      <c r="G100" s="59"/>
      <c r="H100" s="3"/>
      <c r="I100" s="3"/>
      <c r="J100" s="3"/>
      <c r="K100" s="3"/>
      <c r="L100" s="3"/>
      <c r="R100" s="184"/>
    </row>
    <row r="101" spans="1:18" s="54" customFormat="1" ht="10.199999999999999" x14ac:dyDescent="0.2">
      <c r="A101" s="143"/>
      <c r="C101" s="146" t="str">
        <f ca="1">IFERROR(INDEX(Events!$A:$A,MATCH(C99,Events!$I:$I,0)),"")</f>
        <v/>
      </c>
      <c r="D101" s="147"/>
      <c r="E101" s="146" t="str">
        <f ca="1">IFERROR(INDEX(Events!$A:$A,MATCH(E99,Events!$I:$I,0)),"")</f>
        <v/>
      </c>
      <c r="F101" s="147"/>
      <c r="G101" s="59"/>
      <c r="H101" s="3"/>
      <c r="I101" s="3"/>
      <c r="J101" s="3"/>
      <c r="K101" s="3"/>
      <c r="L101" s="139"/>
      <c r="M101" s="140"/>
      <c r="N101" s="140"/>
      <c r="O101" s="140"/>
      <c r="P101" s="141" t="s">
        <v>93</v>
      </c>
      <c r="R101" s="184"/>
    </row>
    <row r="102" spans="1:18" s="54" customFormat="1" ht="10.199999999999999" x14ac:dyDescent="0.2">
      <c r="A102" s="143"/>
      <c r="C102" s="180" t="str">
        <f ca="1">IFERROR(INDEX(Events!$A:$A,MATCH(C99,Events!$J:$J,0)),"")</f>
        <v/>
      </c>
      <c r="D102" s="181"/>
      <c r="E102" s="180" t="str">
        <f ca="1">IFERROR(INDEX(Events!$A:$A,MATCH(E99,Events!$J:$J,0)),"")</f>
        <v/>
      </c>
      <c r="F102" s="181"/>
      <c r="G102" s="59"/>
      <c r="H102" s="3"/>
      <c r="I102" s="3"/>
      <c r="J102" s="3"/>
      <c r="K102" s="3"/>
      <c r="L102" s="139"/>
      <c r="M102" s="140"/>
      <c r="N102" s="140"/>
      <c r="O102" s="140"/>
      <c r="P102" s="141" t="s">
        <v>92</v>
      </c>
      <c r="R102" s="184"/>
    </row>
  </sheetData>
  <mergeCells count="470">
    <mergeCell ref="O98:P98"/>
    <mergeCell ref="A99:A102"/>
    <mergeCell ref="R99:R102"/>
    <mergeCell ref="C100:D100"/>
    <mergeCell ref="E100:F100"/>
    <mergeCell ref="C101:D101"/>
    <mergeCell ref="E101:F101"/>
    <mergeCell ref="C102:D102"/>
    <mergeCell ref="E102:F102"/>
    <mergeCell ref="C98:D98"/>
    <mergeCell ref="E98:F98"/>
    <mergeCell ref="G98:H98"/>
    <mergeCell ref="I98:J98"/>
    <mergeCell ref="K98:L98"/>
    <mergeCell ref="M98:N98"/>
    <mergeCell ref="R94:R98"/>
    <mergeCell ref="C95:D95"/>
    <mergeCell ref="E95:F95"/>
    <mergeCell ref="G95:H95"/>
    <mergeCell ref="I95:J95"/>
    <mergeCell ref="K95:L95"/>
    <mergeCell ref="A73:A98"/>
    <mergeCell ref="C73:D73"/>
    <mergeCell ref="K96:L96"/>
    <mergeCell ref="M96:N96"/>
    <mergeCell ref="O96:P96"/>
    <mergeCell ref="C97:D97"/>
    <mergeCell ref="E97:F97"/>
    <mergeCell ref="G97:H97"/>
    <mergeCell ref="I97:J97"/>
    <mergeCell ref="K97:L97"/>
    <mergeCell ref="M97:N97"/>
    <mergeCell ref="O97:P97"/>
    <mergeCell ref="C96:D96"/>
    <mergeCell ref="E96:F96"/>
    <mergeCell ref="G96:H96"/>
    <mergeCell ref="I96:J96"/>
    <mergeCell ref="K92:L92"/>
    <mergeCell ref="M92:N92"/>
    <mergeCell ref="O92:P92"/>
    <mergeCell ref="C93:D93"/>
    <mergeCell ref="E93:F93"/>
    <mergeCell ref="G93:H93"/>
    <mergeCell ref="I93:J93"/>
    <mergeCell ref="K93:L93"/>
    <mergeCell ref="M93:N93"/>
    <mergeCell ref="O93:P93"/>
    <mergeCell ref="G88:H88"/>
    <mergeCell ref="I88:J88"/>
    <mergeCell ref="K88:L88"/>
    <mergeCell ref="M88:N88"/>
    <mergeCell ref="O88:P88"/>
    <mergeCell ref="R89:R93"/>
    <mergeCell ref="C90:D90"/>
    <mergeCell ref="E90:F90"/>
    <mergeCell ref="G90:H90"/>
    <mergeCell ref="I90:J90"/>
    <mergeCell ref="K90:L90"/>
    <mergeCell ref="M90:N90"/>
    <mergeCell ref="O90:P90"/>
    <mergeCell ref="C91:D91"/>
    <mergeCell ref="E91:F91"/>
    <mergeCell ref="G91:H91"/>
    <mergeCell ref="I91:J91"/>
    <mergeCell ref="K91:L91"/>
    <mergeCell ref="M91:N91"/>
    <mergeCell ref="O91:P91"/>
    <mergeCell ref="C92:D92"/>
    <mergeCell ref="E92:F92"/>
    <mergeCell ref="G92:H92"/>
    <mergeCell ref="I92:J92"/>
    <mergeCell ref="R84:R88"/>
    <mergeCell ref="C85:D85"/>
    <mergeCell ref="E85:F85"/>
    <mergeCell ref="G85:H85"/>
    <mergeCell ref="I85:J85"/>
    <mergeCell ref="K85:L85"/>
    <mergeCell ref="M85:N85"/>
    <mergeCell ref="O85:P85"/>
    <mergeCell ref="C86:D86"/>
    <mergeCell ref="E86:F86"/>
    <mergeCell ref="G86:H86"/>
    <mergeCell ref="I86:J86"/>
    <mergeCell ref="K86:L86"/>
    <mergeCell ref="M86:N86"/>
    <mergeCell ref="O86:P86"/>
    <mergeCell ref="C87:D87"/>
    <mergeCell ref="E87:F87"/>
    <mergeCell ref="G87:H87"/>
    <mergeCell ref="I87:J87"/>
    <mergeCell ref="K87:L87"/>
    <mergeCell ref="M87:N87"/>
    <mergeCell ref="O87:P87"/>
    <mergeCell ref="C88:D88"/>
    <mergeCell ref="E88:F88"/>
    <mergeCell ref="R79:R83"/>
    <mergeCell ref="C80:D80"/>
    <mergeCell ref="E80:F80"/>
    <mergeCell ref="G80:H80"/>
    <mergeCell ref="I80:J80"/>
    <mergeCell ref="K80:L80"/>
    <mergeCell ref="M80:N80"/>
    <mergeCell ref="O80:P80"/>
    <mergeCell ref="C81:D81"/>
    <mergeCell ref="O82:P82"/>
    <mergeCell ref="C83:D83"/>
    <mergeCell ref="E83:F83"/>
    <mergeCell ref="G83:H83"/>
    <mergeCell ref="I83:J83"/>
    <mergeCell ref="K83:L83"/>
    <mergeCell ref="M83:N83"/>
    <mergeCell ref="O83:P83"/>
    <mergeCell ref="C82:D82"/>
    <mergeCell ref="E82:F82"/>
    <mergeCell ref="G82:H82"/>
    <mergeCell ref="I82:J82"/>
    <mergeCell ref="K82:L82"/>
    <mergeCell ref="M82:N82"/>
    <mergeCell ref="C77:D77"/>
    <mergeCell ref="E77:F77"/>
    <mergeCell ref="G77:H77"/>
    <mergeCell ref="I77:J77"/>
    <mergeCell ref="K77:L77"/>
    <mergeCell ref="M77:N77"/>
    <mergeCell ref="O77:P77"/>
    <mergeCell ref="C76:D76"/>
    <mergeCell ref="E81:F81"/>
    <mergeCell ref="G81:H81"/>
    <mergeCell ref="I81:J81"/>
    <mergeCell ref="K81:L81"/>
    <mergeCell ref="M81:N81"/>
    <mergeCell ref="O81:P81"/>
    <mergeCell ref="O78:P78"/>
    <mergeCell ref="C78:D78"/>
    <mergeCell ref="E78:F78"/>
    <mergeCell ref="G78:H78"/>
    <mergeCell ref="I78:J78"/>
    <mergeCell ref="K78:L78"/>
    <mergeCell ref="M78:N78"/>
    <mergeCell ref="M73:N73"/>
    <mergeCell ref="O73:P73"/>
    <mergeCell ref="R74:R78"/>
    <mergeCell ref="G75:H75"/>
    <mergeCell ref="I75:J75"/>
    <mergeCell ref="K75:L75"/>
    <mergeCell ref="M75:N75"/>
    <mergeCell ref="O75:P75"/>
    <mergeCell ref="E76:F76"/>
    <mergeCell ref="E73:F73"/>
    <mergeCell ref="G73:H73"/>
    <mergeCell ref="I73:J73"/>
    <mergeCell ref="K73:L73"/>
    <mergeCell ref="G76:H76"/>
    <mergeCell ref="I76:J76"/>
    <mergeCell ref="K76:L76"/>
    <mergeCell ref="M76:N76"/>
    <mergeCell ref="O76:P76"/>
    <mergeCell ref="C67:D67"/>
    <mergeCell ref="C68:D68"/>
    <mergeCell ref="E68:F68"/>
    <mergeCell ref="C69:D69"/>
    <mergeCell ref="E69:F69"/>
    <mergeCell ref="I69:P71"/>
    <mergeCell ref="C70:D70"/>
    <mergeCell ref="E70:F70"/>
    <mergeCell ref="M64:N64"/>
    <mergeCell ref="O64:P64"/>
    <mergeCell ref="C65:D65"/>
    <mergeCell ref="E65:F65"/>
    <mergeCell ref="G65:H65"/>
    <mergeCell ref="I65:J65"/>
    <mergeCell ref="K65:L65"/>
    <mergeCell ref="M65:N65"/>
    <mergeCell ref="O65:P65"/>
    <mergeCell ref="E67:F67"/>
    <mergeCell ref="M60:N60"/>
    <mergeCell ref="O60:P60"/>
    <mergeCell ref="R61:R65"/>
    <mergeCell ref="C62:D62"/>
    <mergeCell ref="E62:F62"/>
    <mergeCell ref="G62:H62"/>
    <mergeCell ref="I62:J62"/>
    <mergeCell ref="K62:L62"/>
    <mergeCell ref="M62:N62"/>
    <mergeCell ref="O62:P62"/>
    <mergeCell ref="C63:D63"/>
    <mergeCell ref="E63:F63"/>
    <mergeCell ref="G63:H63"/>
    <mergeCell ref="I63:J63"/>
    <mergeCell ref="K63:L63"/>
    <mergeCell ref="M63:N63"/>
    <mergeCell ref="O63:P63"/>
    <mergeCell ref="C64:D64"/>
    <mergeCell ref="E64:F64"/>
    <mergeCell ref="G64:H64"/>
    <mergeCell ref="I64:J64"/>
    <mergeCell ref="K64:L64"/>
    <mergeCell ref="M55:N55"/>
    <mergeCell ref="O55:P55"/>
    <mergeCell ref="R56:R60"/>
    <mergeCell ref="C57:D57"/>
    <mergeCell ref="E57:F57"/>
    <mergeCell ref="G57:H57"/>
    <mergeCell ref="I57:J57"/>
    <mergeCell ref="K57:L57"/>
    <mergeCell ref="M57:N57"/>
    <mergeCell ref="O57:P57"/>
    <mergeCell ref="C58:D58"/>
    <mergeCell ref="E58:F58"/>
    <mergeCell ref="G58:H58"/>
    <mergeCell ref="I58:J58"/>
    <mergeCell ref="K58:L58"/>
    <mergeCell ref="M58:N58"/>
    <mergeCell ref="O58:P58"/>
    <mergeCell ref="C59:D59"/>
    <mergeCell ref="E59:F59"/>
    <mergeCell ref="G59:H59"/>
    <mergeCell ref="I59:J59"/>
    <mergeCell ref="K59:L59"/>
    <mergeCell ref="M59:N59"/>
    <mergeCell ref="O59:P59"/>
    <mergeCell ref="R51:R55"/>
    <mergeCell ref="C52:D52"/>
    <mergeCell ref="E52:F52"/>
    <mergeCell ref="G52:H52"/>
    <mergeCell ref="I52:J52"/>
    <mergeCell ref="K52:L52"/>
    <mergeCell ref="M52:N52"/>
    <mergeCell ref="O52:P52"/>
    <mergeCell ref="C53:D53"/>
    <mergeCell ref="E53:F53"/>
    <mergeCell ref="G53:H53"/>
    <mergeCell ref="I53:J53"/>
    <mergeCell ref="K53:L53"/>
    <mergeCell ref="M53:N53"/>
    <mergeCell ref="O53:P53"/>
    <mergeCell ref="C54:D54"/>
    <mergeCell ref="E54:F54"/>
    <mergeCell ref="G54:H54"/>
    <mergeCell ref="I54:J54"/>
    <mergeCell ref="K54:L54"/>
    <mergeCell ref="M54:N54"/>
    <mergeCell ref="O54:P54"/>
    <mergeCell ref="C55:D55"/>
    <mergeCell ref="E55:F55"/>
    <mergeCell ref="O49:P49"/>
    <mergeCell ref="C50:D50"/>
    <mergeCell ref="E50:F50"/>
    <mergeCell ref="G50:H50"/>
    <mergeCell ref="I50:J50"/>
    <mergeCell ref="K50:L50"/>
    <mergeCell ref="M50:N50"/>
    <mergeCell ref="O50:P50"/>
    <mergeCell ref="C49:D49"/>
    <mergeCell ref="E49:F49"/>
    <mergeCell ref="G49:H49"/>
    <mergeCell ref="I49:J49"/>
    <mergeCell ref="K49:L49"/>
    <mergeCell ref="M49:N49"/>
    <mergeCell ref="R46:R50"/>
    <mergeCell ref="C47:D47"/>
    <mergeCell ref="E47:F47"/>
    <mergeCell ref="G47:H47"/>
    <mergeCell ref="I47:J47"/>
    <mergeCell ref="K47:L47"/>
    <mergeCell ref="M47:N47"/>
    <mergeCell ref="M43:N43"/>
    <mergeCell ref="O43:P43"/>
    <mergeCell ref="C44:D44"/>
    <mergeCell ref="E44:F44"/>
    <mergeCell ref="G44:H44"/>
    <mergeCell ref="I44:J44"/>
    <mergeCell ref="K44:L44"/>
    <mergeCell ref="M44:N44"/>
    <mergeCell ref="O44:P44"/>
    <mergeCell ref="O47:P47"/>
    <mergeCell ref="C48:D48"/>
    <mergeCell ref="E48:F48"/>
    <mergeCell ref="G48:H48"/>
    <mergeCell ref="I48:J48"/>
    <mergeCell ref="K48:L48"/>
    <mergeCell ref="M48:N48"/>
    <mergeCell ref="O48:P48"/>
    <mergeCell ref="M40:N40"/>
    <mergeCell ref="O40:P40"/>
    <mergeCell ref="R41:R45"/>
    <mergeCell ref="O42:P42"/>
    <mergeCell ref="C43:D43"/>
    <mergeCell ref="E43:F43"/>
    <mergeCell ref="G43:H43"/>
    <mergeCell ref="I43:J43"/>
    <mergeCell ref="K43:L43"/>
    <mergeCell ref="K45:L45"/>
    <mergeCell ref="M45:N45"/>
    <mergeCell ref="O45:P45"/>
    <mergeCell ref="A40:A65"/>
    <mergeCell ref="C40:D40"/>
    <mergeCell ref="E40:F40"/>
    <mergeCell ref="G40:H40"/>
    <mergeCell ref="I40:J40"/>
    <mergeCell ref="K40:L40"/>
    <mergeCell ref="C45:D45"/>
    <mergeCell ref="E45:F45"/>
    <mergeCell ref="G45:H45"/>
    <mergeCell ref="I45:J45"/>
    <mergeCell ref="G55:H55"/>
    <mergeCell ref="I55:J55"/>
    <mergeCell ref="K55:L55"/>
    <mergeCell ref="C60:D60"/>
    <mergeCell ref="E60:F60"/>
    <mergeCell ref="G60:H60"/>
    <mergeCell ref="I60:J60"/>
    <mergeCell ref="K60:L60"/>
    <mergeCell ref="I32:J32"/>
    <mergeCell ref="K32:L32"/>
    <mergeCell ref="M32:N32"/>
    <mergeCell ref="C35:D35"/>
    <mergeCell ref="E35:F35"/>
    <mergeCell ref="C36:D36"/>
    <mergeCell ref="E36:F36"/>
    <mergeCell ref="I36:P38"/>
    <mergeCell ref="C37:D37"/>
    <mergeCell ref="E37:F37"/>
    <mergeCell ref="O32:P32"/>
    <mergeCell ref="C33:D33"/>
    <mergeCell ref="E33:F33"/>
    <mergeCell ref="G33:H33"/>
    <mergeCell ref="I33:J33"/>
    <mergeCell ref="K33:L33"/>
    <mergeCell ref="M33:N33"/>
    <mergeCell ref="O33:P33"/>
    <mergeCell ref="C28:D28"/>
    <mergeCell ref="E28:F28"/>
    <mergeCell ref="G28:H28"/>
    <mergeCell ref="I28:J28"/>
    <mergeCell ref="K28:L28"/>
    <mergeCell ref="M28:N28"/>
    <mergeCell ref="O28:P28"/>
    <mergeCell ref="R29:R33"/>
    <mergeCell ref="C30:D30"/>
    <mergeCell ref="E30:F30"/>
    <mergeCell ref="G30:H30"/>
    <mergeCell ref="I30:J30"/>
    <mergeCell ref="K30:L30"/>
    <mergeCell ref="M30:N30"/>
    <mergeCell ref="C31:D31"/>
    <mergeCell ref="E31:F31"/>
    <mergeCell ref="G31:H31"/>
    <mergeCell ref="I31:J31"/>
    <mergeCell ref="K31:L31"/>
    <mergeCell ref="M31:N31"/>
    <mergeCell ref="O31:P31"/>
    <mergeCell ref="C32:D32"/>
    <mergeCell ref="E32:F32"/>
    <mergeCell ref="G32:H32"/>
    <mergeCell ref="M23:N23"/>
    <mergeCell ref="O23:P23"/>
    <mergeCell ref="R24:R28"/>
    <mergeCell ref="C25:D25"/>
    <mergeCell ref="E25:F25"/>
    <mergeCell ref="G25:H25"/>
    <mergeCell ref="I25:J25"/>
    <mergeCell ref="K25:L25"/>
    <mergeCell ref="M25:N25"/>
    <mergeCell ref="O25:P25"/>
    <mergeCell ref="C26:D26"/>
    <mergeCell ref="E26:F26"/>
    <mergeCell ref="G26:H26"/>
    <mergeCell ref="I26:J26"/>
    <mergeCell ref="K26:L26"/>
    <mergeCell ref="M26:N26"/>
    <mergeCell ref="O26:P26"/>
    <mergeCell ref="C27:D27"/>
    <mergeCell ref="E27:F27"/>
    <mergeCell ref="G27:H27"/>
    <mergeCell ref="I27:J27"/>
    <mergeCell ref="K27:L27"/>
    <mergeCell ref="M27:N27"/>
    <mergeCell ref="O27:P27"/>
    <mergeCell ref="R19:R23"/>
    <mergeCell ref="C20:D20"/>
    <mergeCell ref="E20:F20"/>
    <mergeCell ref="G20:H20"/>
    <mergeCell ref="I20:J20"/>
    <mergeCell ref="K20:L20"/>
    <mergeCell ref="M20:N20"/>
    <mergeCell ref="O20:P20"/>
    <mergeCell ref="C21:D21"/>
    <mergeCell ref="E21:F21"/>
    <mergeCell ref="G21:H21"/>
    <mergeCell ref="I21:J21"/>
    <mergeCell ref="K21:L21"/>
    <mergeCell ref="M21:N21"/>
    <mergeCell ref="O21:P21"/>
    <mergeCell ref="C22:D22"/>
    <mergeCell ref="E22:F22"/>
    <mergeCell ref="G22:H22"/>
    <mergeCell ref="I22:J22"/>
    <mergeCell ref="K22:L22"/>
    <mergeCell ref="M22:N22"/>
    <mergeCell ref="O22:P22"/>
    <mergeCell ref="C23:D23"/>
    <mergeCell ref="E23:F23"/>
    <mergeCell ref="R14:R18"/>
    <mergeCell ref="C15:D15"/>
    <mergeCell ref="E15:F15"/>
    <mergeCell ref="G15:H15"/>
    <mergeCell ref="I15:J15"/>
    <mergeCell ref="K15:L15"/>
    <mergeCell ref="M15:N15"/>
    <mergeCell ref="O15:P15"/>
    <mergeCell ref="C16:D16"/>
    <mergeCell ref="E16:F16"/>
    <mergeCell ref="G16:H16"/>
    <mergeCell ref="I16:J16"/>
    <mergeCell ref="K16:L16"/>
    <mergeCell ref="M16:N16"/>
    <mergeCell ref="O16:P16"/>
    <mergeCell ref="C17:D17"/>
    <mergeCell ref="E17:F17"/>
    <mergeCell ref="G17:H17"/>
    <mergeCell ref="I17:J17"/>
    <mergeCell ref="K17:L17"/>
    <mergeCell ref="M17:N17"/>
    <mergeCell ref="O17:P17"/>
    <mergeCell ref="C18:D18"/>
    <mergeCell ref="E18:F18"/>
    <mergeCell ref="R9:R13"/>
    <mergeCell ref="I10:J10"/>
    <mergeCell ref="K10:L10"/>
    <mergeCell ref="M10:N10"/>
    <mergeCell ref="O10:P10"/>
    <mergeCell ref="O12:P12"/>
    <mergeCell ref="O13:P13"/>
    <mergeCell ref="C13:D13"/>
    <mergeCell ref="E13:F13"/>
    <mergeCell ref="G13:H13"/>
    <mergeCell ref="I13:J13"/>
    <mergeCell ref="K13:L13"/>
    <mergeCell ref="M13:N13"/>
    <mergeCell ref="C12:D12"/>
    <mergeCell ref="E12:F12"/>
    <mergeCell ref="G12:H12"/>
    <mergeCell ref="I12:J12"/>
    <mergeCell ref="K12:L12"/>
    <mergeCell ref="M12:N12"/>
    <mergeCell ref="I5:P6"/>
    <mergeCell ref="A8:A33"/>
    <mergeCell ref="C8:D8"/>
    <mergeCell ref="E8:F8"/>
    <mergeCell ref="G8:H8"/>
    <mergeCell ref="I8:J8"/>
    <mergeCell ref="K8:L8"/>
    <mergeCell ref="M8:N8"/>
    <mergeCell ref="O8:P8"/>
    <mergeCell ref="C11:D11"/>
    <mergeCell ref="E11:F11"/>
    <mergeCell ref="G11:H11"/>
    <mergeCell ref="I11:J11"/>
    <mergeCell ref="K11:L11"/>
    <mergeCell ref="M11:N11"/>
    <mergeCell ref="O11:P11"/>
    <mergeCell ref="G18:H18"/>
    <mergeCell ref="I18:J18"/>
    <mergeCell ref="K18:L18"/>
    <mergeCell ref="M18:N18"/>
    <mergeCell ref="O18:P18"/>
    <mergeCell ref="G23:H23"/>
    <mergeCell ref="I23:J23"/>
    <mergeCell ref="K23:L23"/>
  </mergeCells>
  <conditionalFormatting sqref="D51">
    <cfRule type="expression" dxfId="40" priority="27">
      <formula>C51=""</formula>
    </cfRule>
  </conditionalFormatting>
  <conditionalFormatting sqref="E50:F50">
    <cfRule type="expression" dxfId="39" priority="24">
      <formula>E49=""</formula>
    </cfRule>
  </conditionalFormatting>
  <conditionalFormatting sqref="F46">
    <cfRule type="expression" dxfId="38" priority="41">
      <formula>E46=""</formula>
    </cfRule>
  </conditionalFormatting>
  <conditionalFormatting sqref="F51">
    <cfRule type="expression" dxfId="37" priority="26">
      <formula>E51=""</formula>
    </cfRule>
  </conditionalFormatting>
  <conditionalFormatting sqref="F79">
    <cfRule type="expression" dxfId="36" priority="32">
      <formula>E79=""</formula>
    </cfRule>
  </conditionalFormatting>
  <conditionalFormatting sqref="F89">
    <cfRule type="expression" dxfId="35" priority="14">
      <formula>E89=""</formula>
    </cfRule>
  </conditionalFormatting>
  <conditionalFormatting sqref="F94">
    <cfRule type="expression" dxfId="34" priority="16">
      <formula>E94=""</formula>
    </cfRule>
  </conditionalFormatting>
  <conditionalFormatting sqref="G47:H47">
    <cfRule type="expression" dxfId="33" priority="5">
      <formula>G46=""</formula>
    </cfRule>
  </conditionalFormatting>
  <conditionalFormatting sqref="G78:H78">
    <cfRule type="expression" dxfId="32" priority="23">
      <formula>G77=""</formula>
    </cfRule>
  </conditionalFormatting>
  <conditionalFormatting sqref="G83:H83">
    <cfRule type="expression" dxfId="31" priority="19">
      <formula>G82=""</formula>
    </cfRule>
  </conditionalFormatting>
  <conditionalFormatting sqref="G55:J55">
    <cfRule type="expression" dxfId="30" priority="44">
      <formula>G54=""</formula>
    </cfRule>
  </conditionalFormatting>
  <conditionalFormatting sqref="H46">
    <cfRule type="expression" dxfId="29" priority="40">
      <formula>G46=""</formula>
    </cfRule>
  </conditionalFormatting>
  <conditionalFormatting sqref="H51">
    <cfRule type="expression" dxfId="28" priority="25">
      <formula>G51=""</formula>
    </cfRule>
  </conditionalFormatting>
  <conditionalFormatting sqref="H74">
    <cfRule type="expression" dxfId="27" priority="36">
      <formula>G74=""</formula>
    </cfRule>
  </conditionalFormatting>
  <conditionalFormatting sqref="H79">
    <cfRule type="expression" dxfId="26" priority="31">
      <formula>G79=""</formula>
    </cfRule>
  </conditionalFormatting>
  <conditionalFormatting sqref="H89">
    <cfRule type="expression" dxfId="25" priority="13">
      <formula>G89=""</formula>
    </cfRule>
  </conditionalFormatting>
  <conditionalFormatting sqref="H94">
    <cfRule type="expression" dxfId="24" priority="15">
      <formula>G94=""</formula>
    </cfRule>
  </conditionalFormatting>
  <conditionalFormatting sqref="I75:J75">
    <cfRule type="expression" dxfId="23" priority="6">
      <formula>I74=""</formula>
    </cfRule>
  </conditionalFormatting>
  <conditionalFormatting sqref="I83:J83">
    <cfRule type="expression" dxfId="22" priority="2">
      <formula>I79=""</formula>
    </cfRule>
  </conditionalFormatting>
  <conditionalFormatting sqref="I88:J88">
    <cfRule type="expression" dxfId="21" priority="3">
      <formula>I84=""</formula>
    </cfRule>
  </conditionalFormatting>
  <conditionalFormatting sqref="J46">
    <cfRule type="expression" dxfId="20" priority="39">
      <formula>I46=""</formula>
    </cfRule>
  </conditionalFormatting>
  <conditionalFormatting sqref="J51">
    <cfRule type="expression" dxfId="19" priority="22">
      <formula>I51=""</formula>
    </cfRule>
  </conditionalFormatting>
  <conditionalFormatting sqref="J74">
    <cfRule type="expression" dxfId="18" priority="35">
      <formula>I74=""</formula>
    </cfRule>
  </conditionalFormatting>
  <conditionalFormatting sqref="J79">
    <cfRule type="expression" dxfId="17" priority="30">
      <formula>I79=""</formula>
    </cfRule>
  </conditionalFormatting>
  <conditionalFormatting sqref="J89">
    <cfRule type="expression" dxfId="16" priority="12">
      <formula>I89=""</formula>
    </cfRule>
  </conditionalFormatting>
  <conditionalFormatting sqref="J94">
    <cfRule type="expression" dxfId="15" priority="4">
      <formula>I94=""</formula>
    </cfRule>
  </conditionalFormatting>
  <conditionalFormatting sqref="K83:L83">
    <cfRule type="expression" dxfId="14" priority="1">
      <formula>K82=""</formula>
    </cfRule>
  </conditionalFormatting>
  <conditionalFormatting sqref="L46">
    <cfRule type="expression" dxfId="13" priority="38">
      <formula>K46=""</formula>
    </cfRule>
  </conditionalFormatting>
  <conditionalFormatting sqref="L51">
    <cfRule type="expression" dxfId="12" priority="21">
      <formula>K51=""</formula>
    </cfRule>
  </conditionalFormatting>
  <conditionalFormatting sqref="L74">
    <cfRule type="expression" dxfId="11" priority="34">
      <formula>K74=""</formula>
    </cfRule>
  </conditionalFormatting>
  <conditionalFormatting sqref="L79">
    <cfRule type="expression" dxfId="10" priority="29">
      <formula>K79=""</formula>
    </cfRule>
  </conditionalFormatting>
  <conditionalFormatting sqref="L84">
    <cfRule type="expression" dxfId="9" priority="8">
      <formula>K84=""</formula>
    </cfRule>
  </conditionalFormatting>
  <conditionalFormatting sqref="L89">
    <cfRule type="expression" dxfId="8" priority="11">
      <formula>K89=""</formula>
    </cfRule>
  </conditionalFormatting>
  <conditionalFormatting sqref="M50:N50">
    <cfRule type="expression" dxfId="7" priority="46">
      <formula>M49=""</formula>
    </cfRule>
  </conditionalFormatting>
  <conditionalFormatting sqref="N46">
    <cfRule type="expression" dxfId="6" priority="37">
      <formula>M46=""</formula>
    </cfRule>
  </conditionalFormatting>
  <conditionalFormatting sqref="N51">
    <cfRule type="expression" dxfId="5" priority="20">
      <formula>M51=""</formula>
    </cfRule>
  </conditionalFormatting>
  <conditionalFormatting sqref="N74">
    <cfRule type="expression" dxfId="4" priority="33">
      <formula>M74=""</formula>
    </cfRule>
  </conditionalFormatting>
  <conditionalFormatting sqref="N79">
    <cfRule type="expression" dxfId="3" priority="28">
      <formula>M79=""</formula>
    </cfRule>
  </conditionalFormatting>
  <conditionalFormatting sqref="N84">
    <cfRule type="expression" dxfId="2" priority="9">
      <formula>M84=""</formula>
    </cfRule>
  </conditionalFormatting>
  <conditionalFormatting sqref="N89">
    <cfRule type="expression" dxfId="1" priority="10">
      <formula>M89=""</formula>
    </cfRule>
  </conditionalFormatting>
  <conditionalFormatting sqref="N94">
    <cfRule type="expression" dxfId="0" priority="17">
      <formula>M94=""</formula>
    </cfRule>
  </conditionalFormatting>
  <hyperlinks>
    <hyperlink ref="P3" r:id="rId1" display="https://www.vertex42.com/calendars/quarterly-calendar.html" xr:uid="{6FC4FF53-2A54-4A92-AB60-807E19690E69}"/>
  </hyperlinks>
  <printOptions horizontalCentered="1"/>
  <pageMargins left="0.35" right="0.35" top="0.25" bottom="0.4" header="0.25" footer="0.25"/>
  <pageSetup scale="81" orientation="portrait"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192"/>
  <sheetViews>
    <sheetView showGridLines="0" workbookViewId="0">
      <selection activeCell="C22" sqref="C22"/>
    </sheetView>
  </sheetViews>
  <sheetFormatPr defaultColWidth="9.109375" defaultRowHeight="13.2" x14ac:dyDescent="0.25"/>
  <cols>
    <col min="1" max="1" width="21.5546875" customWidth="1"/>
    <col min="2" max="6" width="8.33203125" customWidth="1"/>
    <col min="7" max="10" width="11.109375" style="25" customWidth="1"/>
  </cols>
  <sheetData>
    <row r="1" spans="1:10" ht="28.2" customHeight="1" x14ac:dyDescent="0.25">
      <c r="A1" s="15"/>
      <c r="B1" s="16" t="s">
        <v>6</v>
      </c>
      <c r="C1" s="15"/>
      <c r="D1" s="15"/>
      <c r="E1" s="15"/>
      <c r="F1" s="15"/>
      <c r="G1" s="17"/>
      <c r="H1" s="17"/>
      <c r="I1" s="17"/>
      <c r="J1" s="18" t="s">
        <v>77</v>
      </c>
    </row>
    <row r="2" spans="1:10" x14ac:dyDescent="0.25">
      <c r="A2" s="19"/>
      <c r="B2" s="19"/>
      <c r="C2" s="19"/>
      <c r="D2" s="19"/>
      <c r="E2" s="19"/>
      <c r="F2" s="19"/>
      <c r="G2" s="20"/>
      <c r="H2" s="20"/>
      <c r="I2" s="20"/>
      <c r="J2" s="20"/>
    </row>
    <row r="3" spans="1:10" ht="12.75" customHeight="1" x14ac:dyDescent="0.25">
      <c r="A3" s="21" t="s">
        <v>7</v>
      </c>
      <c r="B3" s="22"/>
      <c r="C3" s="22"/>
      <c r="D3" s="22"/>
      <c r="E3" s="22"/>
      <c r="F3" s="22"/>
      <c r="G3" s="22"/>
      <c r="H3" s="22"/>
      <c r="I3" s="23"/>
      <c r="J3" s="23"/>
    </row>
    <row r="4" spans="1:10" x14ac:dyDescent="0.25">
      <c r="A4" s="21" t="s">
        <v>8</v>
      </c>
      <c r="B4" s="22"/>
      <c r="C4" s="22"/>
      <c r="D4" s="22"/>
      <c r="E4" s="22"/>
      <c r="F4" s="22"/>
      <c r="G4" s="22"/>
      <c r="H4" s="22"/>
      <c r="I4" s="23"/>
      <c r="J4" s="23"/>
    </row>
    <row r="5" spans="1:10" x14ac:dyDescent="0.25">
      <c r="A5" s="21" t="s">
        <v>89</v>
      </c>
      <c r="B5" s="22"/>
      <c r="C5" s="22"/>
      <c r="D5" s="22"/>
      <c r="E5" s="22"/>
      <c r="F5" s="22"/>
      <c r="G5" s="22"/>
      <c r="H5" s="22"/>
      <c r="I5" s="23"/>
      <c r="J5" s="23"/>
    </row>
    <row r="6" spans="1:10" x14ac:dyDescent="0.25">
      <c r="A6" s="21" t="s">
        <v>84</v>
      </c>
      <c r="B6" s="23"/>
      <c r="C6" s="23"/>
      <c r="D6" s="23"/>
      <c r="E6" s="23"/>
      <c r="F6" s="23"/>
      <c r="G6" s="23"/>
      <c r="H6" s="23"/>
      <c r="I6" s="23"/>
      <c r="J6" s="23"/>
    </row>
    <row r="7" spans="1:10" x14ac:dyDescent="0.25">
      <c r="A7" s="21" t="s">
        <v>85</v>
      </c>
      <c r="B7" s="23"/>
      <c r="C7" s="23"/>
      <c r="D7" s="23"/>
      <c r="E7" s="23"/>
      <c r="F7" s="23"/>
      <c r="G7" s="23"/>
      <c r="H7" s="23"/>
      <c r="I7" s="23"/>
      <c r="J7" s="23"/>
    </row>
    <row r="8" spans="1:10" x14ac:dyDescent="0.25">
      <c r="A8" s="23"/>
      <c r="B8" s="23"/>
      <c r="C8" s="23"/>
      <c r="D8" s="23"/>
      <c r="E8" s="23"/>
      <c r="F8" s="23"/>
      <c r="G8" s="23"/>
      <c r="H8" s="23"/>
      <c r="I8" s="23"/>
      <c r="J8" s="23"/>
    </row>
    <row r="9" spans="1:10" x14ac:dyDescent="0.25">
      <c r="A9" s="9"/>
      <c r="B9" s="9"/>
      <c r="C9" s="9"/>
      <c r="D9" s="9"/>
      <c r="E9" s="9"/>
      <c r="F9" s="9"/>
      <c r="G9" s="24"/>
      <c r="H9" s="24"/>
      <c r="I9" s="24"/>
      <c r="J9" s="24"/>
    </row>
    <row r="10" spans="1:10" x14ac:dyDescent="0.25">
      <c r="A10" s="25" t="s">
        <v>5</v>
      </c>
      <c r="B10" s="26">
        <f>'Q1'!D2</f>
        <v>2025</v>
      </c>
      <c r="C10" s="9"/>
      <c r="D10" s="27"/>
      <c r="E10" s="9"/>
      <c r="F10" s="9"/>
      <c r="G10" s="24"/>
      <c r="H10" s="24"/>
      <c r="I10" s="24"/>
      <c r="J10" s="24"/>
    </row>
    <row r="11" spans="1:10" x14ac:dyDescent="0.25">
      <c r="A11" s="9"/>
      <c r="B11" s="9"/>
      <c r="C11" s="9"/>
      <c r="D11" s="9"/>
      <c r="E11" s="9"/>
      <c r="F11" s="9"/>
      <c r="G11" s="24"/>
      <c r="H11" s="24"/>
      <c r="I11" s="24"/>
      <c r="J11" s="24"/>
    </row>
    <row r="12" spans="1:10" s="2" customFormat="1" ht="18" customHeight="1" x14ac:dyDescent="0.25">
      <c r="A12" s="28" t="s">
        <v>9</v>
      </c>
      <c r="B12" s="29"/>
      <c r="C12" s="29"/>
      <c r="D12" s="29"/>
      <c r="E12" s="30"/>
      <c r="F12" s="30"/>
      <c r="G12" s="31"/>
      <c r="H12" s="31"/>
      <c r="I12" s="31"/>
      <c r="J12" s="31"/>
    </row>
    <row r="13" spans="1:10" ht="18" customHeight="1" x14ac:dyDescent="0.25">
      <c r="A13" s="32" t="s">
        <v>10</v>
      </c>
      <c r="B13" s="33" t="s">
        <v>11</v>
      </c>
      <c r="C13" s="33" t="s">
        <v>12</v>
      </c>
      <c r="D13" s="33" t="s">
        <v>13</v>
      </c>
      <c r="E13" s="33" t="s">
        <v>14</v>
      </c>
      <c r="F13" s="48" t="s">
        <v>15</v>
      </c>
      <c r="G13" s="34" t="s">
        <v>16</v>
      </c>
      <c r="H13" s="34" t="s">
        <v>17</v>
      </c>
      <c r="I13" s="34" t="s">
        <v>18</v>
      </c>
      <c r="J13" s="34" t="s">
        <v>19</v>
      </c>
    </row>
    <row r="14" spans="1:10" x14ac:dyDescent="0.25">
      <c r="A14" s="9" t="s">
        <v>20</v>
      </c>
      <c r="B14" s="35">
        <f>$B$10</f>
        <v>2025</v>
      </c>
      <c r="C14" s="35">
        <v>1</v>
      </c>
      <c r="D14" s="35"/>
      <c r="E14" s="35">
        <v>3</v>
      </c>
      <c r="F14" s="35">
        <v>2</v>
      </c>
      <c r="G14" s="36">
        <f t="shared" ref="G14:G33" si="0">IF(OR(OR(C14="",E14=""),F14=""),"",(DATE(B14,C14,1)+(E14-1)*7)+F14-WEEKDAY(DATE(B14,C14,1))+IF(F14&lt;WEEKDAY(DATE(B14,C14,1)),7,0))</f>
        <v>45677</v>
      </c>
      <c r="H14" s="61" t="str">
        <f ca="1">IF(COUNTIF(G$13:OFFSET(G14,-1,0),$G14)&gt;=1,$G14," - ")</f>
        <v xml:space="preserve"> - </v>
      </c>
      <c r="I14" s="61" t="str">
        <f ca="1">IF(COUNTIF(H$13:OFFSET(H14,-1,0),$G14)&gt;=1,$G14," - ")</f>
        <v xml:space="preserve"> - </v>
      </c>
      <c r="J14" s="61" t="str">
        <f ca="1">IF(COUNTIF(I$13:OFFSET(I14,-1,0),$G14)&gt;=1,$G14," - ")</f>
        <v xml:space="preserve"> - </v>
      </c>
    </row>
    <row r="15" spans="1:10" x14ac:dyDescent="0.25">
      <c r="A15" s="9" t="s">
        <v>20</v>
      </c>
      <c r="B15" s="35">
        <f>B14+1</f>
        <v>2026</v>
      </c>
      <c r="C15" s="35">
        <v>1</v>
      </c>
      <c r="D15" s="35"/>
      <c r="E15" s="35">
        <v>3</v>
      </c>
      <c r="F15" s="35">
        <v>2</v>
      </c>
      <c r="G15" s="36">
        <f t="shared" si="0"/>
        <v>46041</v>
      </c>
      <c r="H15" s="61" t="str">
        <f ca="1">IF(COUNTIF(G$13:OFFSET(G15,-1,0),$G15)&gt;=1,$G15," - ")</f>
        <v xml:space="preserve"> - </v>
      </c>
      <c r="I15" s="61" t="str">
        <f ca="1">IF(COUNTIF(H$13:OFFSET(H15,-1,0),$G15)&gt;=1,$G15," - ")</f>
        <v xml:space="preserve"> - </v>
      </c>
      <c r="J15" s="61" t="str">
        <f ca="1">IF(COUNTIF(I$13:OFFSET(I15,-1,0),$G15)&gt;=1,$G15," - ")</f>
        <v xml:space="preserve"> - </v>
      </c>
    </row>
    <row r="16" spans="1:10" x14ac:dyDescent="0.25">
      <c r="A16" s="9" t="s">
        <v>21</v>
      </c>
      <c r="B16" s="35">
        <f>$B$10</f>
        <v>2025</v>
      </c>
      <c r="C16" s="35">
        <v>2</v>
      </c>
      <c r="D16" s="9"/>
      <c r="E16" s="35">
        <v>3</v>
      </c>
      <c r="F16" s="35">
        <v>2</v>
      </c>
      <c r="G16" s="36">
        <f t="shared" si="0"/>
        <v>45705</v>
      </c>
      <c r="H16" s="61" t="str">
        <f ca="1">IF(COUNTIF(G$13:OFFSET(G16,-1,0),$G16)&gt;=1,$G16," - ")</f>
        <v xml:space="preserve"> - </v>
      </c>
      <c r="I16" s="61" t="str">
        <f ca="1">IF(COUNTIF(H$13:OFFSET(H16,-1,0),$G16)&gt;=1,$G16," - ")</f>
        <v xml:space="preserve"> - </v>
      </c>
      <c r="J16" s="61" t="str">
        <f ca="1">IF(COUNTIF(I$13:OFFSET(I16,-1,0),$G16)&gt;=1,$G16," - ")</f>
        <v xml:space="preserve"> - </v>
      </c>
    </row>
    <row r="17" spans="1:10" x14ac:dyDescent="0.25">
      <c r="A17" s="9" t="s">
        <v>21</v>
      </c>
      <c r="B17" s="35">
        <f>B16+1</f>
        <v>2026</v>
      </c>
      <c r="C17" s="35">
        <v>2</v>
      </c>
      <c r="D17" s="9"/>
      <c r="E17" s="35">
        <v>3</v>
      </c>
      <c r="F17" s="35">
        <v>2</v>
      </c>
      <c r="G17" s="36">
        <f>IF(OR(OR(C17="",E17=""),F17=""),"",(DATE(B17,C17,1)+(E17-1)*7)+F17-WEEKDAY(DATE(B17,C17,1))+IF(F17&lt;WEEKDAY(DATE(B17,C17,1)),7,0))</f>
        <v>46069</v>
      </c>
      <c r="H17" s="61" t="str">
        <f ca="1">IF(COUNTIF(G$13:OFFSET(G17,-1,0),$G17)&gt;=1,$G17," - ")</f>
        <v xml:space="preserve"> - </v>
      </c>
      <c r="I17" s="61" t="str">
        <f ca="1">IF(COUNTIF(H$13:OFFSET(H17,-1,0),$G17)&gt;=1,$G17," - ")</f>
        <v xml:space="preserve"> - </v>
      </c>
      <c r="J17" s="61" t="str">
        <f ca="1">IF(COUNTIF(I$13:OFFSET(I17,-1,0),$G17)&gt;=1,$G17," - ")</f>
        <v xml:space="preserve"> - </v>
      </c>
    </row>
    <row r="18" spans="1:10" ht="13.5" customHeight="1" x14ac:dyDescent="0.25">
      <c r="A18" s="9" t="s">
        <v>22</v>
      </c>
      <c r="B18" s="35">
        <f>$B$10</f>
        <v>2025</v>
      </c>
      <c r="C18" s="35">
        <v>5</v>
      </c>
      <c r="D18" s="9"/>
      <c r="E18" s="35">
        <v>2</v>
      </c>
      <c r="F18" s="35">
        <v>1</v>
      </c>
      <c r="G18" s="36">
        <f t="shared" si="0"/>
        <v>45788</v>
      </c>
      <c r="H18" s="61" t="str">
        <f ca="1">IF(COUNTIF(G$13:OFFSET(G18,-1,0),$G18)&gt;=1,$G18," - ")</f>
        <v xml:space="preserve"> - </v>
      </c>
      <c r="I18" s="61" t="str">
        <f ca="1">IF(COUNTIF(H$13:OFFSET(H18,-1,0),$G18)&gt;=1,$G18," - ")</f>
        <v xml:space="preserve"> - </v>
      </c>
      <c r="J18" s="61" t="str">
        <f ca="1">IF(COUNTIF(I$13:OFFSET(I18,-1,0),$G18)&gt;=1,$G18," - ")</f>
        <v xml:space="preserve"> - </v>
      </c>
    </row>
    <row r="19" spans="1:10" x14ac:dyDescent="0.25">
      <c r="A19" s="9" t="s">
        <v>22</v>
      </c>
      <c r="B19" s="35">
        <f>B18+1</f>
        <v>2026</v>
      </c>
      <c r="C19" s="35">
        <v>5</v>
      </c>
      <c r="D19" s="9"/>
      <c r="E19" s="35">
        <v>2</v>
      </c>
      <c r="F19" s="35">
        <v>1</v>
      </c>
      <c r="G19" s="36">
        <f t="shared" si="0"/>
        <v>46152</v>
      </c>
      <c r="H19" s="61" t="str">
        <f ca="1">IF(COUNTIF(G$13:OFFSET(G19,-1,0),$G19)&gt;=1,$G19," - ")</f>
        <v xml:space="preserve"> - </v>
      </c>
      <c r="I19" s="61" t="str">
        <f ca="1">IF(COUNTIF(H$13:OFFSET(H19,-1,0),$G19)&gt;=1,$G19," - ")</f>
        <v xml:space="preserve"> - </v>
      </c>
      <c r="J19" s="61" t="str">
        <f ca="1">IF(COUNTIF(I$13:OFFSET(I19,-1,0),$G19)&gt;=1,$G19," - ")</f>
        <v xml:space="preserve"> - </v>
      </c>
    </row>
    <row r="20" spans="1:10" x14ac:dyDescent="0.25">
      <c r="A20" s="9" t="s">
        <v>23</v>
      </c>
      <c r="B20" s="35">
        <f>$B$10</f>
        <v>2025</v>
      </c>
      <c r="C20" s="35">
        <v>5</v>
      </c>
      <c r="D20" s="9"/>
      <c r="E20" s="35">
        <v>3</v>
      </c>
      <c r="F20" s="35">
        <v>7</v>
      </c>
      <c r="G20" s="36">
        <f t="shared" si="0"/>
        <v>45794</v>
      </c>
      <c r="H20" s="61" t="str">
        <f ca="1">IF(COUNTIF(G$13:OFFSET(G20,-1,0),$G20)&gt;=1,$G20," - ")</f>
        <v xml:space="preserve"> - </v>
      </c>
      <c r="I20" s="61" t="str">
        <f ca="1">IF(COUNTIF(H$13:OFFSET(H20,-1,0),$G20)&gt;=1,$G20," - ")</f>
        <v xml:space="preserve"> - </v>
      </c>
      <c r="J20" s="61" t="str">
        <f ca="1">IF(COUNTIF(I$13:OFFSET(I20,-1,0),$G20)&gt;=1,$G20," - ")</f>
        <v xml:space="preserve"> - </v>
      </c>
    </row>
    <row r="21" spans="1:10" x14ac:dyDescent="0.25">
      <c r="A21" s="9" t="s">
        <v>23</v>
      </c>
      <c r="B21" s="35">
        <f>B20+1</f>
        <v>2026</v>
      </c>
      <c r="C21" s="35">
        <v>5</v>
      </c>
      <c r="D21" s="9"/>
      <c r="E21" s="35">
        <v>3</v>
      </c>
      <c r="F21" s="35">
        <v>7</v>
      </c>
      <c r="G21" s="36">
        <f t="shared" si="0"/>
        <v>46158</v>
      </c>
      <c r="H21" s="61" t="str">
        <f ca="1">IF(COUNTIF(G$13:OFFSET(G21,-1,0),$G21)&gt;=1,$G21," - ")</f>
        <v xml:space="preserve"> - </v>
      </c>
      <c r="I21" s="61" t="str">
        <f ca="1">IF(COUNTIF(H$13:OFFSET(H21,-1,0),$G21)&gt;=1,$G21," - ")</f>
        <v xml:space="preserve"> - </v>
      </c>
      <c r="J21" s="61" t="str">
        <f ca="1">IF(COUNTIF(I$13:OFFSET(I21,-1,0),$G21)&gt;=1,$G21," - ")</f>
        <v xml:space="preserve"> - </v>
      </c>
    </row>
    <row r="22" spans="1:10" x14ac:dyDescent="0.25">
      <c r="A22" s="9" t="s">
        <v>24</v>
      </c>
      <c r="B22" s="35">
        <f>$B$10</f>
        <v>2025</v>
      </c>
      <c r="C22" s="35">
        <v>6</v>
      </c>
      <c r="D22" s="9"/>
      <c r="E22" s="35">
        <v>3</v>
      </c>
      <c r="F22" s="35">
        <v>1</v>
      </c>
      <c r="G22" s="36">
        <f t="shared" si="0"/>
        <v>45823</v>
      </c>
      <c r="H22" s="61" t="str">
        <f ca="1">IF(COUNTIF(G$13:OFFSET(G22,-1,0),$G22)&gt;=1,$G22," - ")</f>
        <v xml:space="preserve"> - </v>
      </c>
      <c r="I22" s="61" t="str">
        <f ca="1">IF(COUNTIF(H$13:OFFSET(H22,-1,0),$G22)&gt;=1,$G22," - ")</f>
        <v xml:space="preserve"> - </v>
      </c>
      <c r="J22" s="61" t="str">
        <f ca="1">IF(COUNTIF(I$13:OFFSET(I22,-1,0),$G22)&gt;=1,$G22," - ")</f>
        <v xml:space="preserve"> - </v>
      </c>
    </row>
    <row r="23" spans="1:10" x14ac:dyDescent="0.25">
      <c r="A23" s="9" t="s">
        <v>24</v>
      </c>
      <c r="B23" s="35">
        <f>B22+1</f>
        <v>2026</v>
      </c>
      <c r="C23" s="35">
        <v>6</v>
      </c>
      <c r="D23" s="9"/>
      <c r="E23" s="35">
        <v>3</v>
      </c>
      <c r="F23" s="35">
        <v>1</v>
      </c>
      <c r="G23" s="36">
        <f t="shared" si="0"/>
        <v>46194</v>
      </c>
      <c r="H23" s="61" t="str">
        <f ca="1">IF(COUNTIF(G$13:OFFSET(G23,-1,0),$G23)&gt;=1,$G23," - ")</f>
        <v xml:space="preserve"> - </v>
      </c>
      <c r="I23" s="61" t="str">
        <f ca="1">IF(COUNTIF(H$13:OFFSET(H23,-1,0),$G23)&gt;=1,$G23," - ")</f>
        <v xml:space="preserve"> - </v>
      </c>
      <c r="J23" s="61" t="str">
        <f ca="1">IF(COUNTIF(I$13:OFFSET(I23,-1,0),$G23)&gt;=1,$G23," - ")</f>
        <v xml:space="preserve"> - </v>
      </c>
    </row>
    <row r="24" spans="1:10" x14ac:dyDescent="0.25">
      <c r="A24" s="9" t="s">
        <v>25</v>
      </c>
      <c r="B24" s="35">
        <f>$B$10</f>
        <v>2025</v>
      </c>
      <c r="C24" s="35">
        <v>6</v>
      </c>
      <c r="D24" s="9"/>
      <c r="E24" s="35">
        <v>0</v>
      </c>
      <c r="F24" s="35">
        <v>2</v>
      </c>
      <c r="G24" s="36">
        <f t="shared" si="0"/>
        <v>45803</v>
      </c>
      <c r="H24" s="61" t="str">
        <f ca="1">IF(COUNTIF(G$13:OFFSET(G24,-1,0),$G24)&gt;=1,$G24," - ")</f>
        <v xml:space="preserve"> - </v>
      </c>
      <c r="I24" s="61" t="str">
        <f ca="1">IF(COUNTIF(H$13:OFFSET(H24,-1,0),$G24)&gt;=1,$G24," - ")</f>
        <v xml:space="preserve"> - </v>
      </c>
      <c r="J24" s="61" t="str">
        <f ca="1">IF(COUNTIF(I$13:OFFSET(I24,-1,0),$G24)&gt;=1,$G24," - ")</f>
        <v xml:space="preserve"> - </v>
      </c>
    </row>
    <row r="25" spans="1:10" x14ac:dyDescent="0.25">
      <c r="A25" s="9" t="s">
        <v>25</v>
      </c>
      <c r="B25" s="35">
        <f>B24+1</f>
        <v>2026</v>
      </c>
      <c r="C25" s="35">
        <v>6</v>
      </c>
      <c r="D25" s="9"/>
      <c r="E25" s="35">
        <v>0</v>
      </c>
      <c r="F25" s="35">
        <v>2</v>
      </c>
      <c r="G25" s="36">
        <f t="shared" si="0"/>
        <v>46167</v>
      </c>
      <c r="H25" s="61" t="str">
        <f ca="1">IF(COUNTIF(G$13:OFFSET(G25,-1,0),$G25)&gt;=1,$G25," - ")</f>
        <v xml:space="preserve"> - </v>
      </c>
      <c r="I25" s="61" t="str">
        <f ca="1">IF(COUNTIF(H$13:OFFSET(H25,-1,0),$G25)&gt;=1,$G25," - ")</f>
        <v xml:space="preserve"> - </v>
      </c>
      <c r="J25" s="61" t="str">
        <f ca="1">IF(COUNTIF(I$13:OFFSET(I25,-1,0),$G25)&gt;=1,$G25," - ")</f>
        <v xml:space="preserve"> - </v>
      </c>
    </row>
    <row r="26" spans="1:10" x14ac:dyDescent="0.25">
      <c r="A26" s="9" t="s">
        <v>26</v>
      </c>
      <c r="B26" s="35">
        <f>$B$10</f>
        <v>2025</v>
      </c>
      <c r="C26" s="35">
        <v>7</v>
      </c>
      <c r="D26" s="35"/>
      <c r="E26" s="35">
        <v>4</v>
      </c>
      <c r="F26" s="35">
        <v>1</v>
      </c>
      <c r="G26" s="36">
        <f t="shared" si="0"/>
        <v>45865</v>
      </c>
      <c r="H26" s="61" t="str">
        <f ca="1">IF(COUNTIF(G$13:OFFSET(G26,-1,0),$G26)&gt;=1,$G26," - ")</f>
        <v xml:space="preserve"> - </v>
      </c>
      <c r="I26" s="61" t="str">
        <f ca="1">IF(COUNTIF(H$13:OFFSET(H26,-1,0),$G26)&gt;=1,$G26," - ")</f>
        <v xml:space="preserve"> - </v>
      </c>
      <c r="J26" s="61" t="str">
        <f ca="1">IF(COUNTIF(I$13:OFFSET(I26,-1,0),$G26)&gt;=1,$G26," - ")</f>
        <v xml:space="preserve"> - </v>
      </c>
    </row>
    <row r="27" spans="1:10" x14ac:dyDescent="0.25">
      <c r="A27" s="9" t="s">
        <v>26</v>
      </c>
      <c r="B27" s="35">
        <f>B26+1</f>
        <v>2026</v>
      </c>
      <c r="C27" s="35">
        <v>7</v>
      </c>
      <c r="D27" s="35"/>
      <c r="E27" s="35">
        <v>4</v>
      </c>
      <c r="F27" s="35">
        <v>1</v>
      </c>
      <c r="G27" s="36">
        <f t="shared" si="0"/>
        <v>46229</v>
      </c>
      <c r="H27" s="61" t="str">
        <f ca="1">IF(COUNTIF(G$13:OFFSET(G27,-1,0),$G27)&gt;=1,$G27," - ")</f>
        <v xml:space="preserve"> - </v>
      </c>
      <c r="I27" s="61" t="str">
        <f ca="1">IF(COUNTIF(H$13:OFFSET(H27,-1,0),$G27)&gt;=1,$G27," - ")</f>
        <v xml:space="preserve"> - </v>
      </c>
      <c r="J27" s="61" t="str">
        <f ca="1">IF(COUNTIF(I$13:OFFSET(I27,-1,0),$G27)&gt;=1,$G27," - ")</f>
        <v xml:space="preserve"> - </v>
      </c>
    </row>
    <row r="28" spans="1:10" x14ac:dyDescent="0.25">
      <c r="A28" s="9" t="s">
        <v>27</v>
      </c>
      <c r="B28" s="35">
        <f>$B$10</f>
        <v>2025</v>
      </c>
      <c r="C28" s="35">
        <v>9</v>
      </c>
      <c r="D28" s="9"/>
      <c r="E28" s="35">
        <v>1</v>
      </c>
      <c r="F28" s="35">
        <v>2</v>
      </c>
      <c r="G28" s="36">
        <f t="shared" si="0"/>
        <v>45901</v>
      </c>
      <c r="H28" s="61" t="str">
        <f ca="1">IF(COUNTIF(G$13:OFFSET(G28,-1,0),$G28)&gt;=1,$G28," - ")</f>
        <v xml:space="preserve"> - </v>
      </c>
      <c r="I28" s="61" t="str">
        <f ca="1">IF(COUNTIF(H$13:OFFSET(H28,-1,0),$G28)&gt;=1,$G28," - ")</f>
        <v xml:space="preserve"> - </v>
      </c>
      <c r="J28" s="61" t="str">
        <f ca="1">IF(COUNTIF(I$13:OFFSET(I28,-1,0),$G28)&gt;=1,$G28," - ")</f>
        <v xml:space="preserve"> - </v>
      </c>
    </row>
    <row r="29" spans="1:10" x14ac:dyDescent="0.25">
      <c r="A29" s="9" t="s">
        <v>27</v>
      </c>
      <c r="B29" s="35">
        <f>B28+1</f>
        <v>2026</v>
      </c>
      <c r="C29" s="35">
        <v>9</v>
      </c>
      <c r="D29" s="9"/>
      <c r="E29" s="35">
        <v>1</v>
      </c>
      <c r="F29" s="35">
        <v>2</v>
      </c>
      <c r="G29" s="36">
        <f t="shared" si="0"/>
        <v>46272</v>
      </c>
      <c r="H29" s="61" t="str">
        <f ca="1">IF(COUNTIF(G$13:OFFSET(G29,-1,0),$G29)&gt;=1,$G29," - ")</f>
        <v xml:space="preserve"> - </v>
      </c>
      <c r="I29" s="61" t="str">
        <f ca="1">IF(COUNTIF(H$13:OFFSET(H29,-1,0),$G29)&gt;=1,$G29," - ")</f>
        <v xml:space="preserve"> - </v>
      </c>
      <c r="J29" s="61" t="str">
        <f ca="1">IF(COUNTIF(I$13:OFFSET(I29,-1,0),$G29)&gt;=1,$G29," - ")</f>
        <v xml:space="preserve"> - </v>
      </c>
    </row>
    <row r="30" spans="1:10" x14ac:dyDescent="0.25">
      <c r="A30" s="9" t="s">
        <v>28</v>
      </c>
      <c r="B30" s="35">
        <f>$B$10</f>
        <v>2025</v>
      </c>
      <c r="C30" s="35">
        <v>10</v>
      </c>
      <c r="D30" s="35"/>
      <c r="E30" s="35">
        <v>2</v>
      </c>
      <c r="F30" s="35">
        <v>2</v>
      </c>
      <c r="G30" s="36">
        <f t="shared" si="0"/>
        <v>45943</v>
      </c>
      <c r="H30" s="61" t="str">
        <f ca="1">IF(COUNTIF(G$13:OFFSET(G30,-1,0),$G30)&gt;=1,$G30," - ")</f>
        <v xml:space="preserve"> - </v>
      </c>
      <c r="I30" s="61" t="str">
        <f ca="1">IF(COUNTIF(H$13:OFFSET(H30,-1,0),$G30)&gt;=1,$G30," - ")</f>
        <v xml:space="preserve"> - </v>
      </c>
      <c r="J30" s="61" t="str">
        <f ca="1">IF(COUNTIF(I$13:OFFSET(I30,-1,0),$G30)&gt;=1,$G30," - ")</f>
        <v xml:space="preserve"> - </v>
      </c>
    </row>
    <row r="31" spans="1:10" x14ac:dyDescent="0.25">
      <c r="A31" s="9" t="s">
        <v>28</v>
      </c>
      <c r="B31" s="35">
        <f>B30+1</f>
        <v>2026</v>
      </c>
      <c r="C31" s="35">
        <v>10</v>
      </c>
      <c r="D31" s="35"/>
      <c r="E31" s="35">
        <v>2</v>
      </c>
      <c r="F31" s="35">
        <v>2</v>
      </c>
      <c r="G31" s="36">
        <f t="shared" si="0"/>
        <v>46307</v>
      </c>
      <c r="H31" s="61" t="str">
        <f ca="1">IF(COUNTIF(G$13:OFFSET(G31,-1,0),$G31)&gt;=1,$G31," - ")</f>
        <v xml:space="preserve"> - </v>
      </c>
      <c r="I31" s="61" t="str">
        <f ca="1">IF(COUNTIF(H$13:OFFSET(H31,-1,0),$G31)&gt;=1,$G31," - ")</f>
        <v xml:space="preserve"> - </v>
      </c>
      <c r="J31" s="61" t="str">
        <f ca="1">IF(COUNTIF(I$13:OFFSET(I31,-1,0),$G31)&gt;=1,$G31," - ")</f>
        <v xml:space="preserve"> - </v>
      </c>
    </row>
    <row r="32" spans="1:10" x14ac:dyDescent="0.25">
      <c r="A32" s="9" t="s">
        <v>29</v>
      </c>
      <c r="B32" s="35">
        <f>$B$10</f>
        <v>2025</v>
      </c>
      <c r="C32" s="35">
        <v>11</v>
      </c>
      <c r="D32" s="9"/>
      <c r="E32" s="35">
        <v>4</v>
      </c>
      <c r="F32" s="35">
        <v>5</v>
      </c>
      <c r="G32" s="36">
        <f t="shared" si="0"/>
        <v>45988</v>
      </c>
      <c r="H32" s="61" t="str">
        <f ca="1">IF(COUNTIF(G$13:OFFSET(G32,-1,0),$G32)&gt;=1,$G32," - ")</f>
        <v xml:space="preserve"> - </v>
      </c>
      <c r="I32" s="61" t="str">
        <f ca="1">IF(COUNTIF(H$13:OFFSET(H32,-1,0),$G32)&gt;=1,$G32," - ")</f>
        <v xml:space="preserve"> - </v>
      </c>
      <c r="J32" s="61" t="str">
        <f ca="1">IF(COUNTIF(I$13:OFFSET(I32,-1,0),$G32)&gt;=1,$G32," - ")</f>
        <v xml:space="preserve"> - </v>
      </c>
    </row>
    <row r="33" spans="1:11" x14ac:dyDescent="0.25">
      <c r="A33" s="9" t="s">
        <v>29</v>
      </c>
      <c r="B33" s="35">
        <f>B32+1</f>
        <v>2026</v>
      </c>
      <c r="C33" s="35">
        <v>11</v>
      </c>
      <c r="D33" s="9"/>
      <c r="E33" s="35">
        <v>4</v>
      </c>
      <c r="F33" s="35">
        <v>5</v>
      </c>
      <c r="G33" s="36">
        <f t="shared" si="0"/>
        <v>46352</v>
      </c>
      <c r="H33" s="61" t="str">
        <f ca="1">IF(COUNTIF(G$13:OFFSET(G33,-1,0),$G33)&gt;=1,$G33," - ")</f>
        <v xml:space="preserve"> - </v>
      </c>
      <c r="I33" s="61" t="str">
        <f ca="1">IF(COUNTIF(H$13:OFFSET(H33,-1,0),$G33)&gt;=1,$G33," - ")</f>
        <v xml:space="preserve"> - </v>
      </c>
      <c r="J33" s="61" t="str">
        <f ca="1">IF(COUNTIF(I$13:OFFSET(I33,-1,0),$G33)&gt;=1,$G33," - ")</f>
        <v xml:space="preserve"> - </v>
      </c>
    </row>
    <row r="34" spans="1:11" x14ac:dyDescent="0.25">
      <c r="A34" s="9" t="s">
        <v>30</v>
      </c>
      <c r="B34" s="35">
        <f>$B$10</f>
        <v>2025</v>
      </c>
      <c r="C34" s="35"/>
      <c r="D34" s="35"/>
      <c r="E34" s="35"/>
      <c r="F34" s="35"/>
      <c r="G34" s="37">
        <f>IF(WEEKDAY(DATE(B34,4,16),16)&lt;=2,DATE(B34,4,18),IF(WEEKDAY(DATE(B34,4,16),1)=2,DATE(B34,4,17),DATE(B34,4,15)))</f>
        <v>45762</v>
      </c>
      <c r="H34" s="61" t="str">
        <f ca="1">IF(COUNTIF(G$13:OFFSET(G34,-1,0),$G34)&gt;=1,$G34," - ")</f>
        <v xml:space="preserve"> - </v>
      </c>
      <c r="I34" s="61" t="str">
        <f ca="1">IF(COUNTIF(H$13:OFFSET(H34,-1,0),$G34)&gt;=1,$G34," - ")</f>
        <v xml:space="preserve"> - </v>
      </c>
      <c r="J34" s="61" t="str">
        <f ca="1">IF(COUNTIF(I$13:OFFSET(I34,-1,0),$G34)&gt;=1,$G34," - ")</f>
        <v xml:space="preserve"> - </v>
      </c>
      <c r="K34" s="1"/>
    </row>
    <row r="35" spans="1:11" x14ac:dyDescent="0.25">
      <c r="A35" s="9" t="s">
        <v>30</v>
      </c>
      <c r="B35" s="35">
        <f>B34+1</f>
        <v>2026</v>
      </c>
      <c r="C35" s="35"/>
      <c r="D35" s="35"/>
      <c r="E35" s="35"/>
      <c r="F35" s="35"/>
      <c r="G35" s="37">
        <f>IF(WEEKDAY(DATE(B35,4,16),16)&lt;=2,DATE(B35,4,18),IF(WEEKDAY(DATE(B35,4,16),1)=2,DATE(B35,4,17),DATE(B35,4,15)))</f>
        <v>46127</v>
      </c>
      <c r="H35" s="61" t="str">
        <f ca="1">IF(COUNTIF(G$13:OFFSET(G35,-1,0),$G35)&gt;=1,$G35," - ")</f>
        <v xml:space="preserve"> - </v>
      </c>
      <c r="I35" s="61" t="str">
        <f ca="1">IF(COUNTIF(H$13:OFFSET(H35,-1,0),$G35)&gt;=1,$G35," - ")</f>
        <v xml:space="preserve"> - </v>
      </c>
      <c r="J35" s="61" t="str">
        <f ca="1">IF(COUNTIF(I$13:OFFSET(I35,-1,0),$G35)&gt;=1,$G35," - ")</f>
        <v xml:space="preserve"> - </v>
      </c>
      <c r="K35" s="1"/>
    </row>
    <row r="36" spans="1:11" x14ac:dyDescent="0.25">
      <c r="A36" s="9" t="s">
        <v>31</v>
      </c>
      <c r="B36" s="35">
        <f>$B$10</f>
        <v>2025</v>
      </c>
      <c r="C36" s="35">
        <v>4</v>
      </c>
      <c r="D36" s="9"/>
      <c r="E36" s="35"/>
      <c r="F36" s="35">
        <v>1</v>
      </c>
      <c r="G36" s="36">
        <f>IF(B36&lt;2007,(DATE(B36,C36,1)+(1-1)*7)+IF(F36&lt;WEEKDAY(DATE(B36,C36,1)),F36+7-WEEKDAY(DATE(B36,C36,1)),F36-WEEKDAY(DATE(B36,C36,1))),(DATE(B36,C36-1,1)+(2-1)*7)+IF(F36&lt;WEEKDAY(DATE(B36,C36-1,1)),F36+7-WEEKDAY(DATE(B36,C36-1,1)),F36-WEEKDAY(DATE(B36,C36-1,1))))</f>
        <v>45725</v>
      </c>
      <c r="H36" s="61" t="str">
        <f ca="1">IF(COUNTIF(G$13:OFFSET(G36,-1,0),$G36)&gt;=1,$G36," - ")</f>
        <v xml:space="preserve"> - </v>
      </c>
      <c r="I36" s="61" t="str">
        <f ca="1">IF(COUNTIF(H$13:OFFSET(H36,-1,0),$G36)&gt;=1,$G36," - ")</f>
        <v xml:space="preserve"> - </v>
      </c>
      <c r="J36" s="61" t="str">
        <f ca="1">IF(COUNTIF(I$13:OFFSET(I36,-1,0),$G36)&gt;=1,$G36," - ")</f>
        <v xml:space="preserve"> - </v>
      </c>
      <c r="K36" s="1"/>
    </row>
    <row r="37" spans="1:11" x14ac:dyDescent="0.25">
      <c r="A37" s="9" t="s">
        <v>31</v>
      </c>
      <c r="B37" s="35">
        <f>B36+1</f>
        <v>2026</v>
      </c>
      <c r="C37" s="35">
        <v>4</v>
      </c>
      <c r="D37" s="9"/>
      <c r="E37" s="35"/>
      <c r="F37" s="35">
        <v>1</v>
      </c>
      <c r="G37" s="36">
        <f>IF(B37&lt;2007,(DATE(B37,C37,1)+(1-1)*7)+IF(F37&lt;WEEKDAY(DATE(B37,C37,1)),F37+7-WEEKDAY(DATE(B37,C37,1)),F37-WEEKDAY(DATE(B37,C37,1))),(DATE(B37,C37-1,1)+(2-1)*7)+IF(F37&lt;WEEKDAY(DATE(B37,C37-1,1)),F37+7-WEEKDAY(DATE(B37,C37-1,1)),F37-WEEKDAY(DATE(B37,C37-1,1))))</f>
        <v>46089</v>
      </c>
      <c r="H37" s="61" t="str">
        <f ca="1">IF(COUNTIF(G$13:OFFSET(G37,-1,0),$G37)&gt;=1,$G37," - ")</f>
        <v xml:space="preserve"> - </v>
      </c>
      <c r="I37" s="61" t="str">
        <f ca="1">IF(COUNTIF(H$13:OFFSET(H37,-1,0),$G37)&gt;=1,$G37," - ")</f>
        <v xml:space="preserve"> - </v>
      </c>
      <c r="J37" s="61" t="str">
        <f ca="1">IF(COUNTIF(I$13:OFFSET(I37,-1,0),$G37)&gt;=1,$G37," - ")</f>
        <v xml:space="preserve"> - </v>
      </c>
      <c r="K37" s="1"/>
    </row>
    <row r="38" spans="1:11" x14ac:dyDescent="0.25">
      <c r="A38" s="9" t="s">
        <v>31</v>
      </c>
      <c r="B38" s="35">
        <f>$B$10</f>
        <v>2025</v>
      </c>
      <c r="C38" s="35">
        <v>11</v>
      </c>
      <c r="D38" s="9"/>
      <c r="E38" s="35"/>
      <c r="F38" s="35">
        <v>1</v>
      </c>
      <c r="G38" s="36">
        <f>IF(B38&lt;2007,(DATE(B38,C38,1)+(-1)*7)+IF(F38&lt;WEEKDAY(DATE(B38,C38,1)),F38+7-WEEKDAY(DATE(B38,C38,1)),F38-WEEKDAY(DATE(B38,C38,1))),(DATE(B38,C38,1)+(1-1)*7)+IF(F38&lt;WEEKDAY(DATE(B38,C38,1)),F38+7-WEEKDAY(DATE(B38,C38,1)),F38-WEEKDAY(DATE(B38,C38,1))))</f>
        <v>45963</v>
      </c>
      <c r="H38" s="61" t="str">
        <f ca="1">IF(COUNTIF(G$13:OFFSET(G38,-1,0),$G38)&gt;=1,$G38," - ")</f>
        <v xml:space="preserve"> - </v>
      </c>
      <c r="I38" s="61" t="str">
        <f ca="1">IF(COUNTIF(H$13:OFFSET(H38,-1,0),$G38)&gt;=1,$G38," - ")</f>
        <v xml:space="preserve"> - </v>
      </c>
      <c r="J38" s="61" t="str">
        <f ca="1">IF(COUNTIF(I$13:OFFSET(I38,-1,0),$G38)&gt;=1,$G38," - ")</f>
        <v xml:space="preserve"> - </v>
      </c>
      <c r="K38" s="1"/>
    </row>
    <row r="39" spans="1:11" x14ac:dyDescent="0.25">
      <c r="A39" s="9" t="s">
        <v>31</v>
      </c>
      <c r="B39" s="35">
        <f>B38+1</f>
        <v>2026</v>
      </c>
      <c r="C39" s="35">
        <v>11</v>
      </c>
      <c r="D39" s="9"/>
      <c r="E39" s="35"/>
      <c r="F39" s="35">
        <v>1</v>
      </c>
      <c r="G39" s="36">
        <f>IF(B39&lt;2007,(DATE(B39,C39,1)+(-1)*7)+IF(F39&lt;WEEKDAY(DATE(B39,C39,1)),F39+7-WEEKDAY(DATE(B39,C39,1)),F39-WEEKDAY(DATE(B39,C39,1))),(DATE(B39,C39,1)+(1-1)*7)+IF(F39&lt;WEEKDAY(DATE(B39,C39,1)),F39+7-WEEKDAY(DATE(B39,C39,1)),F39-WEEKDAY(DATE(B39,C39,1))))</f>
        <v>46327</v>
      </c>
      <c r="H39" s="61" t="str">
        <f ca="1">IF(COUNTIF(G$13:OFFSET(G39,-1,0),$G39)&gt;=1,$G39," - ")</f>
        <v xml:space="preserve"> - </v>
      </c>
      <c r="I39" s="61" t="str">
        <f ca="1">IF(COUNTIF(H$13:OFFSET(H39,-1,0),$G39)&gt;=1,$G39," - ")</f>
        <v xml:space="preserve"> - </v>
      </c>
      <c r="J39" s="61" t="str">
        <f ca="1">IF(COUNTIF(I$13:OFFSET(I39,-1,0),$G39)&gt;=1,$G39," - ")</f>
        <v xml:space="preserve"> - </v>
      </c>
      <c r="K39" s="1"/>
    </row>
    <row r="40" spans="1:11" x14ac:dyDescent="0.25">
      <c r="A40" s="9" t="s">
        <v>32</v>
      </c>
      <c r="B40" s="35">
        <f>$B$10</f>
        <v>2025</v>
      </c>
      <c r="C40" s="35"/>
      <c r="D40" s="35"/>
      <c r="E40" s="35"/>
      <c r="F40" s="35"/>
      <c r="G40" s="37">
        <f>G28+6</f>
        <v>45907</v>
      </c>
      <c r="H40" s="61" t="str">
        <f ca="1">IF(COUNTIF(G$13:OFFSET(G40,-1,0),$G40)&gt;=1,$G40," - ")</f>
        <v xml:space="preserve"> - </v>
      </c>
      <c r="I40" s="61" t="str">
        <f ca="1">IF(COUNTIF(H$13:OFFSET(H40,-1,0),$G40)&gt;=1,$G40," - ")</f>
        <v xml:space="preserve"> - </v>
      </c>
      <c r="J40" s="61" t="str">
        <f ca="1">IF(COUNTIF(I$13:OFFSET(I40,-1,0),$G40)&gt;=1,$G40," - ")</f>
        <v xml:space="preserve"> - </v>
      </c>
      <c r="K40" s="1"/>
    </row>
    <row r="41" spans="1:11" x14ac:dyDescent="0.25">
      <c r="A41" s="9" t="s">
        <v>32</v>
      </c>
      <c r="B41" s="35">
        <f>B40+1</f>
        <v>2026</v>
      </c>
      <c r="C41" s="35"/>
      <c r="D41" s="35"/>
      <c r="E41" s="35"/>
      <c r="F41" s="35"/>
      <c r="G41" s="37">
        <f>G29+6</f>
        <v>46278</v>
      </c>
      <c r="H41" s="61" t="str">
        <f ca="1">IF(COUNTIF(G$13:OFFSET(G41,-1,0),$G41)&gt;=1,$G41," - ")</f>
        <v xml:space="preserve"> - </v>
      </c>
      <c r="I41" s="61" t="str">
        <f ca="1">IF(COUNTIF(H$13:OFFSET(H41,-1,0),$G41)&gt;=1,$G41," - ")</f>
        <v xml:space="preserve"> - </v>
      </c>
      <c r="J41" s="61" t="str">
        <f ca="1">IF(COUNTIF(I$13:OFFSET(I41,-1,0),$G41)&gt;=1,$G41," - ")</f>
        <v xml:space="preserve"> - </v>
      </c>
      <c r="K41" s="1"/>
    </row>
    <row r="42" spans="1:11" x14ac:dyDescent="0.25">
      <c r="A42" s="9" t="s">
        <v>33</v>
      </c>
      <c r="B42" s="35">
        <f>$B$10</f>
        <v>2025</v>
      </c>
      <c r="C42" s="35">
        <v>4</v>
      </c>
      <c r="D42" s="35"/>
      <c r="E42" s="35"/>
      <c r="F42" s="35">
        <v>4</v>
      </c>
      <c r="G42" s="37">
        <f>IF(WEEKDAY(DATE(B42,C42+1,0),1)=7,DATE(B42,C42+1,0)-(7-F42),(DATE(B42,C42+1,0)-WEEKDAY(DATE(B42,C42+1,0),1))-(7-F42))</f>
        <v>45770</v>
      </c>
      <c r="H42" s="61" t="str">
        <f ca="1">IF(COUNTIF(G$13:OFFSET(G42,-1,0),$G42)&gt;=1,$G42," - ")</f>
        <v xml:space="preserve"> - </v>
      </c>
      <c r="I42" s="61" t="str">
        <f ca="1">IF(COUNTIF(H$13:OFFSET(H42,-1,0),$G42)&gt;=1,$G42," - ")</f>
        <v xml:space="preserve"> - </v>
      </c>
      <c r="J42" s="61" t="str">
        <f ca="1">IF(COUNTIF(I$13:OFFSET(I42,-1,0),$G42)&gt;=1,$G42," - ")</f>
        <v xml:space="preserve"> - </v>
      </c>
      <c r="K42" s="1"/>
    </row>
    <row r="43" spans="1:11" x14ac:dyDescent="0.25">
      <c r="A43" s="9" t="s">
        <v>33</v>
      </c>
      <c r="B43" s="35">
        <f>B42+1</f>
        <v>2026</v>
      </c>
      <c r="C43" s="35">
        <v>4</v>
      </c>
      <c r="D43" s="35"/>
      <c r="E43" s="35"/>
      <c r="F43" s="35">
        <v>4</v>
      </c>
      <c r="G43" s="37">
        <f>IF(WEEKDAY(DATE(B43,C43+1,0),1)=7,DATE(B43,C43+1,0)-(7-F43),(DATE(B43,C43+1,0)-WEEKDAY(DATE(B43,C43+1,0),1))-(7-F43))</f>
        <v>46134</v>
      </c>
      <c r="H43" s="61" t="str">
        <f ca="1">IF(COUNTIF(G$13:OFFSET(G43,-1,0),$G43)&gt;=1,$G43," - ")</f>
        <v xml:space="preserve"> - </v>
      </c>
      <c r="I43" s="61" t="str">
        <f ca="1">IF(COUNTIF(H$13:OFFSET(H43,-1,0),$G43)&gt;=1,$G43," - ")</f>
        <v xml:space="preserve"> - </v>
      </c>
      <c r="J43" s="61" t="str">
        <f ca="1">IF(COUNTIF(I$13:OFFSET(I43,-1,0),$G43)&gt;=1,$G43," - ")</f>
        <v xml:space="preserve"> - </v>
      </c>
      <c r="K43" s="1"/>
    </row>
    <row r="44" spans="1:11" x14ac:dyDescent="0.25">
      <c r="A44" s="9" t="s">
        <v>34</v>
      </c>
      <c r="B44" s="35">
        <f>$B$10</f>
        <v>2025</v>
      </c>
      <c r="C44" s="35"/>
      <c r="D44" s="35"/>
      <c r="E44" s="35"/>
      <c r="F44" s="35"/>
      <c r="G44" s="36">
        <f>IF(AND(B44&gt;=2013,B44&lt;=2030),DATEVALUE(INDEX({"2013-02-10";"2014-01-31";"2015-02-19";"2016-02-08";"2017-01-28";"2018-02-16";"2019-02-05";"2020-01-25";"2021-02-12";"2022-02-01";"2023-01-22";"2024-02-10";"2025-01-29";"2026-02-17";"2027-02-06";"2028-01-26";"2029-02-13";"2030-02-03"},B44-2012)),"")</f>
        <v>45686</v>
      </c>
      <c r="H44" s="61" t="str">
        <f ca="1">IF(COUNTIF(G$13:OFFSET(G44,-1,0),$G44)&gt;=1,$G44," - ")</f>
        <v xml:space="preserve"> - </v>
      </c>
      <c r="I44" s="61" t="str">
        <f ca="1">IF(COUNTIF(H$13:OFFSET(H44,-1,0),$G44)&gt;=1,$G44," - ")</f>
        <v xml:space="preserve"> - </v>
      </c>
      <c r="J44" s="61" t="str">
        <f ca="1">IF(COUNTIF(I$13:OFFSET(I44,-1,0),$G44)&gt;=1,$G44," - ")</f>
        <v xml:space="preserve"> - </v>
      </c>
      <c r="K44" s="1"/>
    </row>
    <row r="45" spans="1:11" x14ac:dyDescent="0.25">
      <c r="A45" s="9" t="s">
        <v>34</v>
      </c>
      <c r="B45" s="35">
        <f>B44+1</f>
        <v>2026</v>
      </c>
      <c r="C45" s="35"/>
      <c r="D45" s="35"/>
      <c r="E45" s="35"/>
      <c r="F45" s="35"/>
      <c r="G45" s="36">
        <f>IF(AND(B45&gt;=2013,B45&lt;=2030),DATEVALUE(INDEX({"2013-02-10";"2014-01-31";"2015-02-19";"2016-02-08";"2017-01-28";"2018-02-16";"2019-02-05";"2020-01-25";"2021-02-12";"2022-02-01";"2023-01-22";"2024-02-10";"2025-01-29";"2026-02-17";"2027-02-06";"2028-01-26";"2029-02-13";"2030-02-03"},B45-2012)),"")</f>
        <v>46070</v>
      </c>
      <c r="H45" s="61" t="str">
        <f ca="1">IF(COUNTIF(G$13:OFFSET(G45,-1,0),$G45)&gt;=1,$G45," - ")</f>
        <v xml:space="preserve"> - </v>
      </c>
      <c r="I45" s="61" t="str">
        <f ca="1">IF(COUNTIF(H$13:OFFSET(H45,-1,0),$G45)&gt;=1,$G45," - ")</f>
        <v xml:space="preserve"> - </v>
      </c>
      <c r="J45" s="61" t="str">
        <f ca="1">IF(COUNTIF(I$13:OFFSET(I45,-1,0),$G45)&gt;=1,$G45," - ")</f>
        <v xml:space="preserve"> - </v>
      </c>
      <c r="K45" s="1"/>
    </row>
    <row r="46" spans="1:11" x14ac:dyDescent="0.25">
      <c r="A46" s="9" t="s">
        <v>35</v>
      </c>
      <c r="B46" s="35">
        <f>$B$10</f>
        <v>2025</v>
      </c>
      <c r="C46" s="35"/>
      <c r="D46" s="35"/>
      <c r="E46" s="35"/>
      <c r="F46" s="35"/>
      <c r="G46" s="36">
        <f>IF(AND(B46&gt;1900,B46&lt;2199),ROUND(DATE(B46,4,1)/7+MOD(19*MOD(B46,19)-7,30)*0.14,0)*7-6,"")</f>
        <v>45767</v>
      </c>
      <c r="H46" s="61" t="str">
        <f ca="1">IF(COUNTIF(G$13:OFFSET(G46,-1,0),$G46)&gt;=1,$G46," - ")</f>
        <v xml:space="preserve"> - </v>
      </c>
      <c r="I46" s="61" t="str">
        <f ca="1">IF(COUNTIF(H$13:OFFSET(H46,-1,0),$G46)&gt;=1,$G46," - ")</f>
        <v xml:space="preserve"> - </v>
      </c>
      <c r="J46" s="61" t="str">
        <f ca="1">IF(COUNTIF(I$13:OFFSET(I46,-1,0),$G46)&gt;=1,$G46," - ")</f>
        <v xml:space="preserve"> - </v>
      </c>
    </row>
    <row r="47" spans="1:11" x14ac:dyDescent="0.25">
      <c r="A47" s="9" t="s">
        <v>35</v>
      </c>
      <c r="B47" s="35">
        <f>B46+1</f>
        <v>2026</v>
      </c>
      <c r="C47" s="35"/>
      <c r="D47" s="35"/>
      <c r="E47" s="35"/>
      <c r="F47" s="35"/>
      <c r="G47" s="36">
        <f>IF(AND(B47&gt;1900,B47&lt;2199),ROUND(DATE(B47,4,1)/7+MOD(19*MOD(B47,19)-7,30)*0.14,0)*7-6,"")</f>
        <v>46117</v>
      </c>
      <c r="H47" s="61" t="str">
        <f ca="1">IF(COUNTIF(G$13:OFFSET(G47,-1,0),$G47)&gt;=1,$G47," - ")</f>
        <v xml:space="preserve"> - </v>
      </c>
      <c r="I47" s="61" t="str">
        <f ca="1">IF(COUNTIF(H$13:OFFSET(H47,-1,0),$G47)&gt;=1,$G47," - ")</f>
        <v xml:space="preserve"> - </v>
      </c>
      <c r="J47" s="61" t="str">
        <f ca="1">IF(COUNTIF(I$13:OFFSET(I47,-1,0),$G47)&gt;=1,$G47," - ")</f>
        <v xml:space="preserve"> - </v>
      </c>
    </row>
    <row r="48" spans="1:11" x14ac:dyDescent="0.25">
      <c r="A48" s="9" t="s">
        <v>36</v>
      </c>
      <c r="B48" s="38" t="s">
        <v>37</v>
      </c>
      <c r="C48" s="35"/>
      <c r="D48" s="35"/>
      <c r="E48" s="35"/>
      <c r="F48" s="35"/>
      <c r="G48" s="36">
        <f>G46-2</f>
        <v>45765</v>
      </c>
      <c r="H48" s="61" t="str">
        <f ca="1">IF(COUNTIF(G$13:OFFSET(G48,-1,0),$G48)&gt;=1,$G48," - ")</f>
        <v xml:space="preserve"> - </v>
      </c>
      <c r="I48" s="61" t="str">
        <f ca="1">IF(COUNTIF(H$13:OFFSET(H48,-1,0),$G48)&gt;=1,$G48," - ")</f>
        <v xml:space="preserve"> - </v>
      </c>
      <c r="J48" s="61" t="str">
        <f ca="1">IF(COUNTIF(I$13:OFFSET(I48,-1,0),$G48)&gt;=1,$G48," - ")</f>
        <v xml:space="preserve"> - </v>
      </c>
    </row>
    <row r="49" spans="1:11" x14ac:dyDescent="0.25">
      <c r="A49" s="9" t="s">
        <v>36</v>
      </c>
      <c r="B49" s="38" t="s">
        <v>37</v>
      </c>
      <c r="C49" s="35"/>
      <c r="D49" s="35"/>
      <c r="E49" s="35"/>
      <c r="F49" s="35"/>
      <c r="G49" s="36">
        <f>G47-2</f>
        <v>46115</v>
      </c>
      <c r="H49" s="61" t="str">
        <f ca="1">IF(COUNTIF(G$13:OFFSET(G49,-1,0),$G49)&gt;=1,$G49," - ")</f>
        <v xml:space="preserve"> - </v>
      </c>
      <c r="I49" s="61" t="str">
        <f ca="1">IF(COUNTIF(H$13:OFFSET(H49,-1,0),$G49)&gt;=1,$G49," - ")</f>
        <v xml:space="preserve"> - </v>
      </c>
      <c r="J49" s="61" t="str">
        <f ca="1">IF(COUNTIF(I$13:OFFSET(I49,-1,0),$G49)&gt;=1,$G49," - ")</f>
        <v xml:space="preserve"> - </v>
      </c>
    </row>
    <row r="50" spans="1:11" x14ac:dyDescent="0.25">
      <c r="A50" t="s">
        <v>38</v>
      </c>
      <c r="B50" s="38" t="s">
        <v>37</v>
      </c>
      <c r="C50" s="35"/>
      <c r="D50" s="35"/>
      <c r="E50" s="35"/>
      <c r="F50" s="35"/>
      <c r="G50" s="36">
        <f>G46+49</f>
        <v>45816</v>
      </c>
      <c r="H50" s="61" t="str">
        <f ca="1">IF(COUNTIF(G$13:OFFSET(G50,-1,0),$G50)&gt;=1,$G50," - ")</f>
        <v xml:space="preserve"> - </v>
      </c>
      <c r="I50" s="61" t="str">
        <f ca="1">IF(COUNTIF(H$13:OFFSET(H50,-1,0),$G50)&gt;=1,$G50," - ")</f>
        <v xml:space="preserve"> - </v>
      </c>
      <c r="J50" s="61" t="str">
        <f ca="1">IF(COUNTIF(I$13:OFFSET(I50,-1,0),$G50)&gt;=1,$G50," - ")</f>
        <v xml:space="preserve"> - </v>
      </c>
    </row>
    <row r="51" spans="1:11" x14ac:dyDescent="0.25">
      <c r="A51" t="s">
        <v>38</v>
      </c>
      <c r="B51" s="38" t="s">
        <v>37</v>
      </c>
      <c r="C51" s="35"/>
      <c r="D51" s="35"/>
      <c r="E51" s="35"/>
      <c r="F51" s="35"/>
      <c r="G51" s="36">
        <f>G47+49</f>
        <v>46166</v>
      </c>
      <c r="H51" s="61" t="str">
        <f ca="1">IF(COUNTIF(G$13:OFFSET(G51,-1,0),$G51)&gt;=1,$G51," - ")</f>
        <v xml:space="preserve"> - </v>
      </c>
      <c r="I51" s="61" t="str">
        <f ca="1">IF(COUNTIF(H$13:OFFSET(H51,-1,0),$G51)&gt;=1,$G51," - ")</f>
        <v xml:space="preserve"> - </v>
      </c>
      <c r="J51" s="61" t="str">
        <f ca="1">IF(COUNTIF(I$13:OFFSET(I51,-1,0),$G51)&gt;=1,$G51," - ")</f>
        <v xml:space="preserve"> - </v>
      </c>
    </row>
    <row r="52" spans="1:11" x14ac:dyDescent="0.25">
      <c r="A52" t="s">
        <v>39</v>
      </c>
      <c r="B52" s="38" t="s">
        <v>37</v>
      </c>
      <c r="C52" s="35"/>
      <c r="D52" s="35"/>
      <c r="E52" s="35"/>
      <c r="F52" s="35"/>
      <c r="G52" s="36">
        <f>G46-46</f>
        <v>45721</v>
      </c>
      <c r="H52" s="61" t="str">
        <f ca="1">IF(COUNTIF(G$13:OFFSET(G52,-1,0),$G52)&gt;=1,$G52," - ")</f>
        <v xml:space="preserve"> - </v>
      </c>
      <c r="I52" s="61" t="str">
        <f ca="1">IF(COUNTIF(H$13:OFFSET(H52,-1,0),$G52)&gt;=1,$G52," - ")</f>
        <v xml:space="preserve"> - </v>
      </c>
      <c r="J52" s="61" t="str">
        <f ca="1">IF(COUNTIF(I$13:OFFSET(I52,-1,0),$G52)&gt;=1,$G52," - ")</f>
        <v xml:space="preserve"> - </v>
      </c>
    </row>
    <row r="53" spans="1:11" x14ac:dyDescent="0.25">
      <c r="A53" t="s">
        <v>39</v>
      </c>
      <c r="B53" s="38" t="s">
        <v>37</v>
      </c>
      <c r="C53" s="35"/>
      <c r="D53" s="35"/>
      <c r="E53" s="35"/>
      <c r="F53" s="35"/>
      <c r="G53" s="36">
        <f>G47-46</f>
        <v>46071</v>
      </c>
      <c r="H53" s="61" t="str">
        <f ca="1">IF(COUNTIF(G$13:OFFSET(G53,-1,0),$G53)&gt;=1,$G53," - ")</f>
        <v xml:space="preserve"> - </v>
      </c>
      <c r="I53" s="61" t="str">
        <f ca="1">IF(COUNTIF(H$13:OFFSET(H53,-1,0),$G53)&gt;=1,$G53," - ")</f>
        <v xml:space="preserve"> - </v>
      </c>
      <c r="J53" s="61" t="str">
        <f ca="1">IF(COUNTIF(I$13:OFFSET(I53,-1,0),$G53)&gt;=1,$G53," - ")</f>
        <v xml:space="preserve"> - </v>
      </c>
    </row>
    <row r="54" spans="1:11" x14ac:dyDescent="0.25">
      <c r="A54" t="s">
        <v>40</v>
      </c>
      <c r="B54" s="38" t="s">
        <v>37</v>
      </c>
      <c r="C54" s="35"/>
      <c r="D54" s="35"/>
      <c r="E54" s="35"/>
      <c r="F54" s="35"/>
      <c r="G54" s="36">
        <f>G46-47</f>
        <v>45720</v>
      </c>
      <c r="H54" s="61" t="str">
        <f ca="1">IF(COUNTIF(G$13:OFFSET(G54,-1,0),$G54)&gt;=1,$G54," - ")</f>
        <v xml:space="preserve"> - </v>
      </c>
      <c r="I54" s="61" t="str">
        <f ca="1">IF(COUNTIF(H$13:OFFSET(H54,-1,0),$G54)&gt;=1,$G54," - ")</f>
        <v xml:space="preserve"> - </v>
      </c>
      <c r="J54" s="61" t="str">
        <f ca="1">IF(COUNTIF(I$13:OFFSET(I54,-1,0),$G54)&gt;=1,$G54," - ")</f>
        <v xml:space="preserve"> - </v>
      </c>
    </row>
    <row r="55" spans="1:11" x14ac:dyDescent="0.25">
      <c r="A55" t="s">
        <v>40</v>
      </c>
      <c r="B55" s="38" t="s">
        <v>37</v>
      </c>
      <c r="C55" s="35"/>
      <c r="D55" s="35"/>
      <c r="E55" s="35"/>
      <c r="F55" s="35"/>
      <c r="G55" s="36">
        <f>G47-47</f>
        <v>46070</v>
      </c>
      <c r="H55" s="61">
        <f ca="1">IF(COUNTIF(G$13:OFFSET(G55,-1,0),$G55)&gt;=1,$G55," - ")</f>
        <v>46070</v>
      </c>
      <c r="I55" s="61" t="str">
        <f ca="1">IF(COUNTIF(H$13:OFFSET(H55,-1,0),$G55)&gt;=1,$G55," - ")</f>
        <v xml:space="preserve"> - </v>
      </c>
      <c r="J55" s="61" t="str">
        <f ca="1">IF(COUNTIF(I$13:OFFSET(I55,-1,0),$G55)&gt;=1,$G55," - ")</f>
        <v xml:space="preserve"> - </v>
      </c>
    </row>
    <row r="56" spans="1:11" x14ac:dyDescent="0.25">
      <c r="A56" s="9" t="s">
        <v>41</v>
      </c>
      <c r="B56" s="35">
        <f>$B$10</f>
        <v>2025</v>
      </c>
      <c r="C56" s="35"/>
      <c r="D56" s="9"/>
      <c r="E56" s="35"/>
      <c r="F56" s="35"/>
      <c r="G56" s="36">
        <f>IF(AND(B56&gt;=2013,B56&lt;=2030),DATEVALUE(INDEX({"2013-07-09";"2014-06-28";"2015-06-18";"2016-06-06";"2017-05-27";"2018-05-16";"2019-05-06";"2020-04-24";"2021-04-13";"2022-04-03";"2023-03-23";"2024-03-11";"2025-03-01";"2026-02-18";"2027-02-08";"2028-01-28";"2029-01-16";"2030-01-06"},B56-2012)),"")</f>
        <v>45717</v>
      </c>
      <c r="H56" s="61" t="str">
        <f ca="1">IF(COUNTIF(G$13:OFFSET(G56,-1,0),$G56)&gt;=1,$G56," - ")</f>
        <v xml:space="preserve"> - </v>
      </c>
      <c r="I56" s="61" t="str">
        <f ca="1">IF(COUNTIF(H$13:OFFSET(H56,-1,0),$G56)&gt;=1,$G56," - ")</f>
        <v xml:space="preserve"> - </v>
      </c>
      <c r="J56" s="61" t="str">
        <f ca="1">IF(COUNTIF(I$13:OFFSET(I56,-1,0),$G56)&gt;=1,$G56," - ")</f>
        <v xml:space="preserve"> - </v>
      </c>
    </row>
    <row r="57" spans="1:11" x14ac:dyDescent="0.25">
      <c r="A57" s="9" t="s">
        <v>41</v>
      </c>
      <c r="B57" s="35">
        <f>B56+1</f>
        <v>2026</v>
      </c>
      <c r="C57" s="35"/>
      <c r="D57" s="9"/>
      <c r="E57" s="35"/>
      <c r="F57" s="35"/>
      <c r="G57" s="36">
        <f>IF(AND(B57&gt;=2013,B57&lt;=2030),DATEVALUE(INDEX({"2013-07-09";"2014-06-28";"2015-06-18";"2016-06-06";"2017-05-27";"2018-05-16";"2019-05-06";"2020-04-24";"2021-04-13";"2022-04-03";"2023-03-23";"2024-03-11";"2025-03-01";"2026-02-18";"2027-02-08";"2028-01-28";"2029-01-16";"2030-01-06"},B57-2012)),"")</f>
        <v>46071</v>
      </c>
      <c r="H57" s="61">
        <f ca="1">IF(COUNTIF(G$13:OFFSET(G57,-1,0),$G57)&gt;=1,$G57," - ")</f>
        <v>46071</v>
      </c>
      <c r="I57" s="61" t="str">
        <f ca="1">IF(COUNTIF(H$13:OFFSET(H57,-1,0),$G57)&gt;=1,$G57," - ")</f>
        <v xml:space="preserve"> - </v>
      </c>
      <c r="J57" s="61" t="str">
        <f ca="1">IF(COUNTIF(I$13:OFFSET(I57,-1,0),$G57)&gt;=1,$G57," - ")</f>
        <v xml:space="preserve"> - </v>
      </c>
    </row>
    <row r="58" spans="1:11" x14ac:dyDescent="0.25">
      <c r="A58" s="9" t="s">
        <v>42</v>
      </c>
      <c r="B58" s="38" t="s">
        <v>43</v>
      </c>
      <c r="C58" s="35"/>
      <c r="D58" s="9"/>
      <c r="E58" s="35"/>
      <c r="F58" s="35"/>
      <c r="G58" s="36">
        <f>IF(ISERROR(G56+30),"",G56+30)</f>
        <v>45747</v>
      </c>
      <c r="H58" s="61" t="str">
        <f ca="1">IF(COUNTIF(G$13:OFFSET(G58,-1,0),$G58)&gt;=1,$G58," - ")</f>
        <v xml:space="preserve"> - </v>
      </c>
      <c r="I58" s="61" t="str">
        <f ca="1">IF(COUNTIF(H$13:OFFSET(H58,-1,0),$G58)&gt;=1,$G58," - ")</f>
        <v xml:space="preserve"> - </v>
      </c>
      <c r="J58" s="61" t="str">
        <f ca="1">IF(COUNTIF(I$13:OFFSET(I58,-1,0),$G58)&gt;=1,$G58," - ")</f>
        <v xml:space="preserve"> - </v>
      </c>
    </row>
    <row r="59" spans="1:11" x14ac:dyDescent="0.25">
      <c r="A59" s="9" t="s">
        <v>42</v>
      </c>
      <c r="B59" s="38" t="s">
        <v>43</v>
      </c>
      <c r="C59" s="35"/>
      <c r="D59" s="9"/>
      <c r="E59" s="35"/>
      <c r="F59" s="35"/>
      <c r="G59" s="36">
        <f>IF(ISERROR(G57+30),"",G57+30)</f>
        <v>46101</v>
      </c>
      <c r="H59" s="61" t="str">
        <f ca="1">IF(COUNTIF(G$13:OFFSET(G59,-1,0),$G59)&gt;=1,$G59," - ")</f>
        <v xml:space="preserve"> - </v>
      </c>
      <c r="I59" s="61" t="str">
        <f ca="1">IF(COUNTIF(H$13:OFFSET(H59,-1,0),$G59)&gt;=1,$G59," - ")</f>
        <v xml:space="preserve"> - </v>
      </c>
      <c r="J59" s="61" t="str">
        <f ca="1">IF(COUNTIF(I$13:OFFSET(I59,-1,0),$G59)&gt;=1,$G59," - ")</f>
        <v xml:space="preserve"> - </v>
      </c>
    </row>
    <row r="60" spans="1:11" x14ac:dyDescent="0.25">
      <c r="A60" s="9" t="s">
        <v>44</v>
      </c>
      <c r="B60" s="35">
        <f>$B$10</f>
        <v>2025</v>
      </c>
      <c r="C60" s="35"/>
      <c r="D60" s="9"/>
      <c r="E60" s="35"/>
      <c r="F60" s="35"/>
      <c r="G60" s="36">
        <f>IF(AND(B60&gt;=2013,B60&lt;=2030),DATEVALUE(INDEX({"2013-09-05";"2014-09-25";"2015-09-14";"2016-10-03";"2017-09-21";"2018-09-10";"2019-09-30";"2020-09-19";"2021-09-07";"2022-09-26";"2023-09-16";"2024-10-03";"2025-09-23";"2026-09-12";"2027-10-02";"2028-09-21";"2029-09-10";"2030-09-28"},B60-2012)),"")</f>
        <v>45923</v>
      </c>
      <c r="H60" s="61" t="str">
        <f ca="1">IF(COUNTIF(G$13:OFFSET(G60,-1,0),$G60)&gt;=1,$G60," - ")</f>
        <v xml:space="preserve"> - </v>
      </c>
      <c r="I60" s="61" t="str">
        <f ca="1">IF(COUNTIF(H$13:OFFSET(H60,-1,0),$G60)&gt;=1,$G60," - ")</f>
        <v xml:space="preserve"> - </v>
      </c>
      <c r="J60" s="61" t="str">
        <f ca="1">IF(COUNTIF(I$13:OFFSET(I60,-1,0),$G60)&gt;=1,$G60," - ")</f>
        <v xml:space="preserve"> - </v>
      </c>
      <c r="K60" s="1"/>
    </row>
    <row r="61" spans="1:11" x14ac:dyDescent="0.25">
      <c r="A61" s="9" t="s">
        <v>44</v>
      </c>
      <c r="B61" s="35">
        <f>B60+1</f>
        <v>2026</v>
      </c>
      <c r="C61" s="35"/>
      <c r="D61" s="9"/>
      <c r="E61" s="35"/>
      <c r="F61" s="35"/>
      <c r="G61" s="36">
        <f>IF(AND(B61&gt;=2013,B61&lt;=2030),DATEVALUE(INDEX({"2013-09-05";"2014-09-25";"2015-09-14";"2016-10-03";"2017-09-21";"2018-09-10";"2019-09-30";"2020-09-19";"2021-09-07";"2022-09-26";"2023-09-16";"2024-10-03";"2025-09-23";"2026-09-12";"2027-10-02";"2028-09-21";"2029-09-10";"2030-09-28"},B61-2012)),"")</f>
        <v>46277</v>
      </c>
      <c r="H61" s="61" t="str">
        <f ca="1">IF(COUNTIF(G$13:OFFSET(G61,-1,0),$G61)&gt;=1,$G61," - ")</f>
        <v xml:space="preserve"> - </v>
      </c>
      <c r="I61" s="61" t="str">
        <f ca="1">IF(COUNTIF(H$13:OFFSET(H61,-1,0),$G61)&gt;=1,$G61," - ")</f>
        <v xml:space="preserve"> - </v>
      </c>
      <c r="J61" s="61" t="str">
        <f ca="1">IF(COUNTIF(I$13:OFFSET(I61,-1,0),$G61)&gt;=1,$G61," - ")</f>
        <v xml:space="preserve"> - </v>
      </c>
      <c r="K61" s="1"/>
    </row>
    <row r="62" spans="1:11" x14ac:dyDescent="0.25">
      <c r="A62" s="9" t="s">
        <v>45</v>
      </c>
      <c r="B62" s="38" t="s">
        <v>46</v>
      </c>
      <c r="C62" s="35"/>
      <c r="D62" s="9"/>
      <c r="E62" s="35"/>
      <c r="F62" s="35"/>
      <c r="G62" s="36">
        <f>IF(ISERROR(G60+9),"",G60+9)</f>
        <v>45932</v>
      </c>
      <c r="H62" s="61" t="str">
        <f ca="1">IF(COUNTIF(G$13:OFFSET(G62,-1,0),$G62)&gt;=1,$G62," - ")</f>
        <v xml:space="preserve"> - </v>
      </c>
      <c r="I62" s="61" t="str">
        <f ca="1">IF(COUNTIF(H$13:OFFSET(H62,-1,0),$G62)&gt;=1,$G62," - ")</f>
        <v xml:space="preserve"> - </v>
      </c>
      <c r="J62" s="61" t="str">
        <f ca="1">IF(COUNTIF(I$13:OFFSET(I62,-1,0),$G62)&gt;=1,$G62," - ")</f>
        <v xml:space="preserve"> - </v>
      </c>
    </row>
    <row r="63" spans="1:11" x14ac:dyDescent="0.25">
      <c r="A63" s="9" t="s">
        <v>45</v>
      </c>
      <c r="B63" s="38" t="s">
        <v>46</v>
      </c>
      <c r="C63" s="35"/>
      <c r="D63" s="9"/>
      <c r="E63" s="35"/>
      <c r="F63" s="35"/>
      <c r="G63" s="36">
        <f>IF(ISERROR(G61+9),"",G61+9)</f>
        <v>46286</v>
      </c>
      <c r="H63" s="61" t="str">
        <f ca="1">IF(COUNTIF(G$13:OFFSET(G63,-1,0),$G63)&gt;=1,$G63," - ")</f>
        <v xml:space="preserve"> - </v>
      </c>
      <c r="I63" s="61" t="str">
        <f ca="1">IF(COUNTIF(H$13:OFFSET(H63,-1,0),$G63)&gt;=1,$G63," - ")</f>
        <v xml:space="preserve"> - </v>
      </c>
      <c r="J63" s="61" t="str">
        <f ca="1">IF(COUNTIF(I$13:OFFSET(I63,-1,0),$G63)&gt;=1,$G63," - ")</f>
        <v xml:space="preserve"> - </v>
      </c>
    </row>
    <row r="64" spans="1:11" x14ac:dyDescent="0.25">
      <c r="A64" s="9" t="s">
        <v>47</v>
      </c>
      <c r="B64" s="38" t="s">
        <v>46</v>
      </c>
      <c r="C64" s="35"/>
      <c r="D64" s="9"/>
      <c r="E64" s="35"/>
      <c r="F64" s="35"/>
      <c r="G64" s="36">
        <f>IF(ISERROR(G60-163),"",G60-163)</f>
        <v>45760</v>
      </c>
      <c r="H64" s="61" t="str">
        <f ca="1">IF(COUNTIF(G$13:OFFSET(G64,-1,0),$G64)&gt;=1,$G64," - ")</f>
        <v xml:space="preserve"> - </v>
      </c>
      <c r="I64" s="61" t="str">
        <f ca="1">IF(COUNTIF(H$13:OFFSET(H64,-1,0),$G64)&gt;=1,$G64," - ")</f>
        <v xml:space="preserve"> - </v>
      </c>
      <c r="J64" s="61" t="str">
        <f ca="1">IF(COUNTIF(I$13:OFFSET(I64,-1,0),$G64)&gt;=1,$G64," - ")</f>
        <v xml:space="preserve"> - </v>
      </c>
    </row>
    <row r="65" spans="1:11" x14ac:dyDescent="0.25">
      <c r="A65" s="9" t="s">
        <v>47</v>
      </c>
      <c r="B65" s="38" t="s">
        <v>46</v>
      </c>
      <c r="C65" s="35"/>
      <c r="D65" s="9"/>
      <c r="E65" s="35"/>
      <c r="F65" s="35"/>
      <c r="G65" s="36">
        <f>IF(ISERROR(G61-163),"",G61-163)</f>
        <v>46114</v>
      </c>
      <c r="H65" s="61" t="str">
        <f ca="1">IF(COUNTIF(G$13:OFFSET(G65,-1,0),$G65)&gt;=1,$G65," - ")</f>
        <v xml:space="preserve"> - </v>
      </c>
      <c r="I65" s="61" t="str">
        <f ca="1">IF(COUNTIF(H$13:OFFSET(H65,-1,0),$G65)&gt;=1,$G65," - ")</f>
        <v xml:space="preserve"> - </v>
      </c>
      <c r="J65" s="61" t="str">
        <f ca="1">IF(COUNTIF(I$13:OFFSET(I65,-1,0),$G65)&gt;=1,$G65," - ")</f>
        <v xml:space="preserve"> - </v>
      </c>
    </row>
    <row r="66" spans="1:11" x14ac:dyDescent="0.25">
      <c r="A66" s="9" t="s">
        <v>48</v>
      </c>
      <c r="B66" s="35">
        <f>$B$10</f>
        <v>2025</v>
      </c>
      <c r="C66" s="35"/>
      <c r="D66" s="9"/>
      <c r="E66" s="35"/>
      <c r="F66" s="35"/>
      <c r="G66" s="36">
        <f>IF(AND(B66&gt;=2013,B66&lt;=2030),DATEVALUE(INDEX({"2013-11-27";"2014-12-16";"2015-12-06";"2016-12-24";"2017-12-12";"2018-12-02";"2019-12-22";"2020-12-10";"2021-11-28";"2022-12-18";"2023-12-07";"2024-12-25";"2025-12-14";"2026-12-04";"2027-12-24";"2028-12-12";"2029-12-01";"2030-12-20"},B66-2012)),"")</f>
        <v>46005</v>
      </c>
      <c r="H66" s="61" t="str">
        <f ca="1">IF(COUNTIF(G$13:OFFSET(G66,-1,0),$G66)&gt;=1,$G66," - ")</f>
        <v xml:space="preserve"> - </v>
      </c>
      <c r="I66" s="61" t="str">
        <f ca="1">IF(COUNTIF(H$13:OFFSET(H66,-1,0),$G66)&gt;=1,$G66," - ")</f>
        <v xml:space="preserve"> - </v>
      </c>
      <c r="J66" s="61" t="str">
        <f ca="1">IF(COUNTIF(I$13:OFFSET(I66,-1,0),$G66)&gt;=1,$G66," - ")</f>
        <v xml:space="preserve"> - </v>
      </c>
    </row>
    <row r="67" spans="1:11" x14ac:dyDescent="0.25">
      <c r="A67" s="9" t="s">
        <v>48</v>
      </c>
      <c r="B67" s="35">
        <f>B66+1</f>
        <v>2026</v>
      </c>
      <c r="C67" s="35"/>
      <c r="D67" s="9"/>
      <c r="E67" s="35"/>
      <c r="F67" s="35"/>
      <c r="G67" s="36">
        <f>IF(AND(B67&gt;=2013,B67&lt;=2030),DATEVALUE(INDEX({"2013-11-27";"2014-12-16";"2015-12-06";"2016-12-24";"2017-12-12";"2018-12-02";"2019-12-22";"2020-12-10";"2021-11-28";"2022-12-18";"2023-12-07";"2024-12-25";"2025-12-14";"2026-12-04";"2027-12-24";"2028-12-12";"2029-12-01";"2030-12-20"},B67-2012)),"")</f>
        <v>46360</v>
      </c>
      <c r="H67" s="61" t="str">
        <f ca="1">IF(COUNTIF(G$13:OFFSET(G67,-1,0),$G67)&gt;=1,$G67," - ")</f>
        <v xml:space="preserve"> - </v>
      </c>
      <c r="I67" s="61" t="str">
        <f ca="1">IF(COUNTIF(H$13:OFFSET(H67,-1,0),$G67)&gt;=1,$G67," - ")</f>
        <v xml:space="preserve"> - </v>
      </c>
      <c r="J67" s="61" t="str">
        <f ca="1">IF(COUNTIF(I$13:OFFSET(I67,-1,0),$G67)&gt;=1,$G67," - ")</f>
        <v xml:space="preserve"> - </v>
      </c>
    </row>
    <row r="68" spans="1:11" x14ac:dyDescent="0.25">
      <c r="A68" s="9" t="s">
        <v>49</v>
      </c>
      <c r="B68" s="35">
        <f>$B$10</f>
        <v>2025</v>
      </c>
      <c r="C68" s="35"/>
      <c r="D68" s="9"/>
      <c r="E68" s="35"/>
      <c r="F68" s="35"/>
      <c r="G68" s="36">
        <f>DATE(B68,5,24)-MOD(WEEKDAY(DATE(B68,5,24),1)-2,7)</f>
        <v>45796</v>
      </c>
      <c r="H68" s="61" t="str">
        <f ca="1">IF(COUNTIF(G$13:OFFSET(G68,-1,0),$G68)&gt;=1,$G68," - ")</f>
        <v xml:space="preserve"> - </v>
      </c>
      <c r="I68" s="61" t="str">
        <f ca="1">IF(COUNTIF(H$13:OFFSET(H68,-1,0),$G68)&gt;=1,$G68," - ")</f>
        <v xml:space="preserve"> - </v>
      </c>
      <c r="J68" s="61" t="str">
        <f ca="1">IF(COUNTIF(I$13:OFFSET(I68,-1,0),$G68)&gt;=1,$G68," - ")</f>
        <v xml:space="preserve"> - </v>
      </c>
      <c r="K68" s="1"/>
    </row>
    <row r="69" spans="1:11" x14ac:dyDescent="0.25">
      <c r="A69" s="9" t="s">
        <v>49</v>
      </c>
      <c r="B69" s="35">
        <f>B68+1</f>
        <v>2026</v>
      </c>
      <c r="C69" s="35"/>
      <c r="D69" s="9"/>
      <c r="E69" s="35"/>
      <c r="F69" s="35"/>
      <c r="G69" s="36">
        <f>DATE(B69,5,24)-MOD(WEEKDAY(DATE(B69,5,24),1)-2,7)</f>
        <v>46160</v>
      </c>
      <c r="H69" s="61" t="str">
        <f ca="1">IF(COUNTIF(G$13:OFFSET(G69,-1,0),$G69)&gt;=1,$G69," - ")</f>
        <v xml:space="preserve"> - </v>
      </c>
      <c r="I69" s="61" t="str">
        <f ca="1">IF(COUNTIF(H$13:OFFSET(H69,-1,0),$G69)&gt;=1,$G69," - ")</f>
        <v xml:space="preserve"> - </v>
      </c>
      <c r="J69" s="61" t="str">
        <f ca="1">IF(COUNTIF(I$13:OFFSET(I69,-1,0),$G69)&gt;=1,$G69," - ")</f>
        <v xml:space="preserve"> - </v>
      </c>
      <c r="K69" s="1"/>
    </row>
    <row r="70" spans="1:11" x14ac:dyDescent="0.25">
      <c r="A70" t="s">
        <v>95</v>
      </c>
      <c r="B70" s="35">
        <f>$B$10</f>
        <v>2025</v>
      </c>
      <c r="C70" s="35"/>
      <c r="D70" s="35"/>
      <c r="E70" s="35"/>
      <c r="F70" s="35"/>
      <c r="G70" s="36">
        <f>ROUNDDOWN((DATE(2000,3,20)+TIME(7,29,0))+(B70-2000)*365.24238,0)</f>
        <v>45736</v>
      </c>
      <c r="H70" s="61" t="str">
        <f ca="1">IF(COUNTIF(G$13:OFFSET(G70,-1,0),$G70)&gt;=1,$G70," - ")</f>
        <v xml:space="preserve"> - </v>
      </c>
      <c r="I70" s="61" t="str">
        <f ca="1">IF(COUNTIF(H$13:OFFSET(H70,-1,0),$G70)&gt;=1,$G70," - ")</f>
        <v xml:space="preserve"> - </v>
      </c>
      <c r="J70" s="61" t="str">
        <f ca="1">IF(COUNTIF(I$13:OFFSET(I70,-1,0),$G70)&gt;=1,$G70," - ")</f>
        <v xml:space="preserve"> - </v>
      </c>
    </row>
    <row r="71" spans="1:11" x14ac:dyDescent="0.25">
      <c r="A71" t="s">
        <v>95</v>
      </c>
      <c r="B71" s="35">
        <f>B70+1</f>
        <v>2026</v>
      </c>
      <c r="C71" s="35"/>
      <c r="D71" s="35"/>
      <c r="E71" s="35"/>
      <c r="F71" s="35"/>
      <c r="G71" s="36">
        <f>ROUNDDOWN((DATE(2000,3,20)+TIME(7,29,0))+(B71-2000)*365.24238,0)</f>
        <v>46101</v>
      </c>
      <c r="H71" s="61">
        <f ca="1">IF(COUNTIF(G$13:OFFSET(G71,-1,0),$G71)&gt;=1,$G71," - ")</f>
        <v>46101</v>
      </c>
      <c r="I71" s="61" t="str">
        <f ca="1">IF(COUNTIF(H$13:OFFSET(H71,-1,0),$G71)&gt;=1,$G71," - ")</f>
        <v xml:space="preserve"> - </v>
      </c>
      <c r="J71" s="61" t="str">
        <f ca="1">IF(COUNTIF(I$13:OFFSET(I71,-1,0),$G71)&gt;=1,$G71," - ")</f>
        <v xml:space="preserve"> - </v>
      </c>
    </row>
    <row r="72" spans="1:11" x14ac:dyDescent="0.25">
      <c r="A72" t="s">
        <v>96</v>
      </c>
      <c r="B72" s="35">
        <f>$B$10</f>
        <v>2025</v>
      </c>
      <c r="C72" s="35"/>
      <c r="D72" s="35"/>
      <c r="E72" s="35"/>
      <c r="F72" s="35"/>
      <c r="G72" s="36">
        <f>ROUNDDOWN((DATE(2000,6,21)+TIME(1,36,0))+(B72-2000)*365.24163,0)</f>
        <v>45829</v>
      </c>
      <c r="H72" s="61" t="str">
        <f ca="1">IF(COUNTIF(G$13:OFFSET(G72,-1,0),$G72)&gt;=1,$G72," - ")</f>
        <v xml:space="preserve"> - </v>
      </c>
      <c r="I72" s="61" t="str">
        <f ca="1">IF(COUNTIF(H$13:OFFSET(H72,-1,0),$G72)&gt;=1,$G72," - ")</f>
        <v xml:space="preserve"> - </v>
      </c>
      <c r="J72" s="61" t="str">
        <f ca="1">IF(COUNTIF(I$13:OFFSET(I72,-1,0),$G72)&gt;=1,$G72," - ")</f>
        <v xml:space="preserve"> - </v>
      </c>
    </row>
    <row r="73" spans="1:11" x14ac:dyDescent="0.25">
      <c r="A73" t="s">
        <v>96</v>
      </c>
      <c r="B73" s="35">
        <f>B72+1</f>
        <v>2026</v>
      </c>
      <c r="C73" s="35"/>
      <c r="D73" s="35"/>
      <c r="E73" s="35"/>
      <c r="F73" s="35"/>
      <c r="G73" s="36">
        <f>ROUNDDOWN((DATE(2000,6,21)+TIME(1,36,0))+(B73-2000)*365.24163,0)</f>
        <v>46194</v>
      </c>
      <c r="H73" s="61">
        <f ca="1">IF(COUNTIF(G$13:OFFSET(G73,-1,0),$G73)&gt;=1,$G73," - ")</f>
        <v>46194</v>
      </c>
      <c r="I73" s="61" t="str">
        <f ca="1">IF(COUNTIF(H$13:OFFSET(H73,-1,0),$G73)&gt;=1,$G73," - ")</f>
        <v xml:space="preserve"> - </v>
      </c>
      <c r="J73" s="61" t="str">
        <f ca="1">IF(COUNTIF(I$13:OFFSET(I73,-1,0),$G73)&gt;=1,$G73," - ")</f>
        <v xml:space="preserve"> - </v>
      </c>
    </row>
    <row r="74" spans="1:11" x14ac:dyDescent="0.25">
      <c r="A74" t="s">
        <v>97</v>
      </c>
      <c r="B74" s="35">
        <f>$B$10</f>
        <v>2025</v>
      </c>
      <c r="C74" s="35"/>
      <c r="D74" s="35"/>
      <c r="E74" s="35"/>
      <c r="F74" s="35"/>
      <c r="G74" s="36">
        <f>ROUNDDOWN((DATE(2000,9,22)+TIME(17,17,0))+(B74-2000)*365.24205,0)</f>
        <v>45922</v>
      </c>
      <c r="H74" s="61" t="str">
        <f ca="1">IF(COUNTIF(G$13:OFFSET(G74,-1,0),$G74)&gt;=1,$G74," - ")</f>
        <v xml:space="preserve"> - </v>
      </c>
      <c r="I74" s="61" t="str">
        <f ca="1">IF(COUNTIF(H$13:OFFSET(H74,-1,0),$G74)&gt;=1,$G74," - ")</f>
        <v xml:space="preserve"> - </v>
      </c>
      <c r="J74" s="61" t="str">
        <f ca="1">IF(COUNTIF(I$13:OFFSET(I74,-1,0),$G74)&gt;=1,$G74," - ")</f>
        <v xml:space="preserve"> - </v>
      </c>
    </row>
    <row r="75" spans="1:11" x14ac:dyDescent="0.25">
      <c r="A75" t="s">
        <v>97</v>
      </c>
      <c r="B75" s="35">
        <f>B74+1</f>
        <v>2026</v>
      </c>
      <c r="C75" s="35"/>
      <c r="D75" s="35"/>
      <c r="E75" s="35"/>
      <c r="F75" s="35"/>
      <c r="G75" s="36">
        <f>ROUNDDOWN((DATE(2000,9,22)+TIME(17,17,0))+(B75-2000)*365.24205,0)</f>
        <v>46288</v>
      </c>
      <c r="H75" s="61" t="str">
        <f ca="1">IF(COUNTIF(G$13:OFFSET(G75,-1,0),$G75)&gt;=1,$G75," - ")</f>
        <v xml:space="preserve"> - </v>
      </c>
      <c r="I75" s="61" t="str">
        <f ca="1">IF(COUNTIF(H$13:OFFSET(H75,-1,0),$G75)&gt;=1,$G75," - ")</f>
        <v xml:space="preserve"> - </v>
      </c>
      <c r="J75" s="61" t="str">
        <f ca="1">IF(COUNTIF(I$13:OFFSET(I75,-1,0),$G75)&gt;=1,$G75," - ")</f>
        <v xml:space="preserve"> - </v>
      </c>
    </row>
    <row r="76" spans="1:11" x14ac:dyDescent="0.25">
      <c r="A76" t="s">
        <v>98</v>
      </c>
      <c r="B76" s="35">
        <f>$B$10</f>
        <v>2025</v>
      </c>
      <c r="C76" s="35"/>
      <c r="D76" s="35"/>
      <c r="E76" s="35"/>
      <c r="F76" s="35"/>
      <c r="G76" s="36">
        <f>ROUNDDOWN((DATE(2000,12,21)+TIME(13,30,0))+(B76-2000)*365.242743,0)</f>
        <v>46012</v>
      </c>
      <c r="H76" s="61" t="str">
        <f ca="1">IF(COUNTIF(G$13:OFFSET(G76,-1,0),$G76)&gt;=1,$G76," - ")</f>
        <v xml:space="preserve"> - </v>
      </c>
      <c r="I76" s="61" t="str">
        <f ca="1">IF(COUNTIF(H$13:OFFSET(H76,-1,0),$G76)&gt;=1,$G76," - ")</f>
        <v xml:space="preserve"> - </v>
      </c>
      <c r="J76" s="61" t="str">
        <f ca="1">IF(COUNTIF(I$13:OFFSET(I76,-1,0),$G76)&gt;=1,$G76," - ")</f>
        <v xml:space="preserve"> - </v>
      </c>
    </row>
    <row r="77" spans="1:11" x14ac:dyDescent="0.25">
      <c r="A77" t="s">
        <v>98</v>
      </c>
      <c r="B77" s="35">
        <f>B76+1</f>
        <v>2026</v>
      </c>
      <c r="C77" s="35"/>
      <c r="D77" s="35"/>
      <c r="E77" s="35"/>
      <c r="F77" s="35"/>
      <c r="G77" s="36">
        <f>ROUNDDOWN((DATE(2000,12,21)+TIME(13,30,0))+(B77-2000)*365.242743,0)</f>
        <v>46377</v>
      </c>
      <c r="H77" s="61" t="str">
        <f ca="1">IF(COUNTIF(G$13:OFFSET(G77,-1,0),$G77)&gt;=1,$G77," - ")</f>
        <v xml:space="preserve"> - </v>
      </c>
      <c r="I77" s="61" t="str">
        <f ca="1">IF(COUNTIF(H$13:OFFSET(H77,-1,0),$G77)&gt;=1,$G77," - ")</f>
        <v xml:space="preserve"> - </v>
      </c>
      <c r="J77" s="61" t="str">
        <f ca="1">IF(COUNTIF(I$13:OFFSET(I77,-1,0),$G77)&gt;=1,$G77," - ")</f>
        <v xml:space="preserve"> - </v>
      </c>
    </row>
    <row r="78" spans="1:11" x14ac:dyDescent="0.25">
      <c r="A78" s="9"/>
      <c r="B78" s="9"/>
      <c r="C78" s="9"/>
      <c r="D78" s="9"/>
      <c r="E78" s="9"/>
      <c r="F78" s="9"/>
      <c r="G78" s="39"/>
      <c r="H78" s="39"/>
      <c r="I78" s="39"/>
      <c r="J78" s="39"/>
    </row>
    <row r="79" spans="1:11" s="2" customFormat="1" ht="18" customHeight="1" x14ac:dyDescent="0.25">
      <c r="A79" s="28" t="s">
        <v>50</v>
      </c>
      <c r="B79" s="29"/>
      <c r="C79" s="29"/>
      <c r="D79" s="29"/>
      <c r="E79" s="30"/>
      <c r="F79" s="30"/>
      <c r="G79" s="40" t="s">
        <v>51</v>
      </c>
      <c r="H79" s="31"/>
      <c r="I79" s="31"/>
      <c r="J79" s="31"/>
    </row>
    <row r="80" spans="1:11" ht="18" customHeight="1" x14ac:dyDescent="0.25">
      <c r="A80" s="32" t="s">
        <v>52</v>
      </c>
      <c r="B80" s="33" t="s">
        <v>11</v>
      </c>
      <c r="C80" s="33" t="s">
        <v>12</v>
      </c>
      <c r="D80" s="33"/>
      <c r="E80" s="33" t="s">
        <v>14</v>
      </c>
      <c r="F80" s="33" t="s">
        <v>15</v>
      </c>
      <c r="G80" s="34" t="s">
        <v>16</v>
      </c>
      <c r="H80" s="34" t="str">
        <f>H$13</f>
        <v>2nd Event</v>
      </c>
      <c r="I80" s="34" t="str">
        <f t="shared" ref="I80:J80" si="1">I$13</f>
        <v>3rd Event</v>
      </c>
      <c r="J80" s="34" t="str">
        <f t="shared" si="1"/>
        <v>4th Event</v>
      </c>
    </row>
    <row r="81" spans="1:10" x14ac:dyDescent="0.25">
      <c r="B81" s="35"/>
      <c r="C81" s="35"/>
      <c r="D81" s="35"/>
      <c r="E81" s="35"/>
      <c r="F81" s="35"/>
      <c r="G81" s="36" t="str">
        <f>IF(OR(OR(C81="",E81=""),F81="")," - ",(DATE(B81,C81,1)+(E81-1)*7)+F81-WEEKDAY(DATE(B81,C81,1))+IF(F81&lt;WEEKDAY(DATE(B81,C81,1)),7,0))</f>
        <v xml:space="preserve"> - </v>
      </c>
      <c r="H81" s="61" t="str">
        <f ca="1">IF(COUNTIF(G$13:OFFSET(G81,-1,0),$G81)&gt;=1,$G81," - ")</f>
        <v xml:space="preserve"> - </v>
      </c>
      <c r="I81" s="61" t="str">
        <f ca="1">IF(COUNTIF(H$13:OFFSET(H81,-1,0),$G81)&gt;=1,$G81," - ")</f>
        <v xml:space="preserve"> - </v>
      </c>
      <c r="J81" s="61" t="str">
        <f ca="1">IF(COUNTIF(I$13:OFFSET(I81,-1,0),$G81)&gt;=1,$G81," - ")</f>
        <v xml:space="preserve"> - </v>
      </c>
    </row>
    <row r="82" spans="1:10" x14ac:dyDescent="0.25">
      <c r="B82" s="35"/>
      <c r="C82" s="35"/>
      <c r="D82" s="35"/>
      <c r="E82" s="35"/>
      <c r="F82" s="35"/>
      <c r="G82" s="36" t="str">
        <f t="shared" ref="G82:G91" si="2">IF(OR(OR(C82="",E82=""),F82="")," - ",(DATE(B82,C82,1)+(E82-1)*7)+F82-WEEKDAY(DATE(B82,C82,1))+IF(F82&lt;WEEKDAY(DATE(B82,C82,1)),7,0))</f>
        <v xml:space="preserve"> - </v>
      </c>
      <c r="H82" s="61" t="str">
        <f ca="1">IF(COUNTIF(G$13:OFFSET(G82,-1,0),$G82)&gt;=1,$G82," - ")</f>
        <v xml:space="preserve"> - </v>
      </c>
      <c r="I82" s="61" t="str">
        <f ca="1">IF(COUNTIF(H$13:OFFSET(H82,-1,0),$G82)&gt;=1,$G82," - ")</f>
        <v xml:space="preserve"> - </v>
      </c>
      <c r="J82" s="61" t="str">
        <f ca="1">IF(COUNTIF(I$13:OFFSET(I82,-1,0),$G82)&gt;=1,$G82," - ")</f>
        <v xml:space="preserve"> - </v>
      </c>
    </row>
    <row r="83" spans="1:10" x14ac:dyDescent="0.25">
      <c r="A83" s="9"/>
      <c r="B83" s="35"/>
      <c r="C83" s="35"/>
      <c r="D83" s="35"/>
      <c r="E83" s="35"/>
      <c r="F83" s="35"/>
      <c r="G83" s="36" t="str">
        <f t="shared" si="2"/>
        <v xml:space="preserve"> - </v>
      </c>
      <c r="H83" s="61" t="str">
        <f ca="1">IF(COUNTIF(G$13:OFFSET(G83,-1,0),$G83)&gt;=1,$G83," - ")</f>
        <v xml:space="preserve"> - </v>
      </c>
      <c r="I83" s="61" t="str">
        <f ca="1">IF(COUNTIF(H$13:OFFSET(H83,-1,0),$G83)&gt;=1,$G83," - ")</f>
        <v xml:space="preserve"> - </v>
      </c>
      <c r="J83" s="61" t="str">
        <f ca="1">IF(COUNTIF(I$13:OFFSET(I83,-1,0),$G83)&gt;=1,$G83," - ")</f>
        <v xml:space="preserve"> - </v>
      </c>
    </row>
    <row r="84" spans="1:10" x14ac:dyDescent="0.25">
      <c r="A84" s="9"/>
      <c r="B84" s="35"/>
      <c r="C84" s="35"/>
      <c r="D84" s="35"/>
      <c r="E84" s="35"/>
      <c r="F84" s="35"/>
      <c r="G84" s="36" t="str">
        <f t="shared" si="2"/>
        <v xml:space="preserve"> - </v>
      </c>
      <c r="H84" s="61" t="str">
        <f ca="1">IF(COUNTIF(G$13:OFFSET(G84,-1,0),$G84)&gt;=1,$G84," - ")</f>
        <v xml:space="preserve"> - </v>
      </c>
      <c r="I84" s="61" t="str">
        <f ca="1">IF(COUNTIF(H$13:OFFSET(H84,-1,0),$G84)&gt;=1,$G84," - ")</f>
        <v xml:space="preserve"> - </v>
      </c>
      <c r="J84" s="61" t="str">
        <f ca="1">IF(COUNTIF(I$13:OFFSET(I84,-1,0),$G84)&gt;=1,$G84," - ")</f>
        <v xml:space="preserve"> - </v>
      </c>
    </row>
    <row r="85" spans="1:10" x14ac:dyDescent="0.25">
      <c r="A85" s="9"/>
      <c r="B85" s="35"/>
      <c r="C85" s="35"/>
      <c r="D85" s="35"/>
      <c r="E85" s="35"/>
      <c r="F85" s="35"/>
      <c r="G85" s="36" t="str">
        <f t="shared" si="2"/>
        <v xml:space="preserve"> - </v>
      </c>
      <c r="H85" s="61" t="str">
        <f ca="1">IF(COUNTIF(G$13:OFFSET(G85,-1,0),$G85)&gt;=1,$G85," - ")</f>
        <v xml:space="preserve"> - </v>
      </c>
      <c r="I85" s="61" t="str">
        <f ca="1">IF(COUNTIF(H$13:OFFSET(H85,-1,0),$G85)&gt;=1,$G85," - ")</f>
        <v xml:space="preserve"> - </v>
      </c>
      <c r="J85" s="61" t="str">
        <f ca="1">IF(COUNTIF(I$13:OFFSET(I85,-1,0),$G85)&gt;=1,$G85," - ")</f>
        <v xml:space="preserve"> - </v>
      </c>
    </row>
    <row r="86" spans="1:10" x14ac:dyDescent="0.25">
      <c r="A86" s="9"/>
      <c r="B86" s="35"/>
      <c r="C86" s="35"/>
      <c r="D86" s="35"/>
      <c r="E86" s="35"/>
      <c r="F86" s="35"/>
      <c r="G86" s="36" t="str">
        <f t="shared" si="2"/>
        <v xml:space="preserve"> - </v>
      </c>
      <c r="H86" s="61" t="str">
        <f ca="1">IF(COUNTIF(G$13:OFFSET(G86,-1,0),$G86)&gt;=1,$G86," - ")</f>
        <v xml:space="preserve"> - </v>
      </c>
      <c r="I86" s="61" t="str">
        <f ca="1">IF(COUNTIF(H$13:OFFSET(H86,-1,0),$G86)&gt;=1,$G86," - ")</f>
        <v xml:space="preserve"> - </v>
      </c>
      <c r="J86" s="61" t="str">
        <f ca="1">IF(COUNTIF(I$13:OFFSET(I86,-1,0),$G86)&gt;=1,$G86," - ")</f>
        <v xml:space="preserve"> - </v>
      </c>
    </row>
    <row r="87" spans="1:10" x14ac:dyDescent="0.25">
      <c r="A87" s="9"/>
      <c r="B87" s="35"/>
      <c r="C87" s="35"/>
      <c r="D87" s="35"/>
      <c r="E87" s="35"/>
      <c r="F87" s="35"/>
      <c r="G87" s="36" t="str">
        <f t="shared" si="2"/>
        <v xml:space="preserve"> - </v>
      </c>
      <c r="H87" s="61" t="str">
        <f ca="1">IF(COUNTIF(G$13:OFFSET(G87,-1,0),$G87)&gt;=1,$G87," - ")</f>
        <v xml:space="preserve"> - </v>
      </c>
      <c r="I87" s="61" t="str">
        <f ca="1">IF(COUNTIF(H$13:OFFSET(H87,-1,0),$G87)&gt;=1,$G87," - ")</f>
        <v xml:space="preserve"> - </v>
      </c>
      <c r="J87" s="61" t="str">
        <f ca="1">IF(COUNTIF(I$13:OFFSET(I87,-1,0),$G87)&gt;=1,$G87," - ")</f>
        <v xml:space="preserve"> - </v>
      </c>
    </row>
    <row r="88" spans="1:10" x14ac:dyDescent="0.25">
      <c r="A88" s="9"/>
      <c r="B88" s="35"/>
      <c r="C88" s="35"/>
      <c r="D88" s="35"/>
      <c r="E88" s="35"/>
      <c r="F88" s="35"/>
      <c r="G88" s="36" t="str">
        <f t="shared" si="2"/>
        <v xml:space="preserve"> - </v>
      </c>
      <c r="H88" s="61" t="str">
        <f ca="1">IF(COUNTIF(G$13:OFFSET(G88,-1,0),$G88)&gt;=1,$G88," - ")</f>
        <v xml:space="preserve"> - </v>
      </c>
      <c r="I88" s="61" t="str">
        <f ca="1">IF(COUNTIF(H$13:OFFSET(H88,-1,0),$G88)&gt;=1,$G88," - ")</f>
        <v xml:space="preserve"> - </v>
      </c>
      <c r="J88" s="61" t="str">
        <f ca="1">IF(COUNTIF(I$13:OFFSET(I88,-1,0),$G88)&gt;=1,$G88," - ")</f>
        <v xml:space="preserve"> - </v>
      </c>
    </row>
    <row r="89" spans="1:10" x14ac:dyDescent="0.25">
      <c r="A89" s="9"/>
      <c r="B89" s="35"/>
      <c r="C89" s="35"/>
      <c r="D89" s="35"/>
      <c r="E89" s="35"/>
      <c r="F89" s="35"/>
      <c r="G89" s="36" t="str">
        <f t="shared" si="2"/>
        <v xml:space="preserve"> - </v>
      </c>
      <c r="H89" s="61" t="str">
        <f ca="1">IF(COUNTIF(G$13:OFFSET(G89,-1,0),$G89)&gt;=1,$G89," - ")</f>
        <v xml:space="preserve"> - </v>
      </c>
      <c r="I89" s="61" t="str">
        <f ca="1">IF(COUNTIF(H$13:OFFSET(H89,-1,0),$G89)&gt;=1,$G89," - ")</f>
        <v xml:space="preserve"> - </v>
      </c>
      <c r="J89" s="61" t="str">
        <f ca="1">IF(COUNTIF(I$13:OFFSET(I89,-1,0),$G89)&gt;=1,$G89," - ")</f>
        <v xml:space="preserve"> - </v>
      </c>
    </row>
    <row r="90" spans="1:10" x14ac:dyDescent="0.25">
      <c r="A90" s="9"/>
      <c r="B90" s="35"/>
      <c r="C90" s="35"/>
      <c r="D90" s="35"/>
      <c r="E90" s="35"/>
      <c r="F90" s="35"/>
      <c r="G90" s="36" t="str">
        <f t="shared" si="2"/>
        <v xml:space="preserve"> - </v>
      </c>
      <c r="H90" s="61" t="str">
        <f ca="1">IF(COUNTIF(G$13:OFFSET(G90,-1,0),$G90)&gt;=1,$G90," - ")</f>
        <v xml:space="preserve"> - </v>
      </c>
      <c r="I90" s="61" t="str">
        <f ca="1">IF(COUNTIF(H$13:OFFSET(H90,-1,0),$G90)&gt;=1,$G90," - ")</f>
        <v xml:space="preserve"> - </v>
      </c>
      <c r="J90" s="61" t="str">
        <f ca="1">IF(COUNTIF(I$13:OFFSET(I90,-1,0),$G90)&gt;=1,$G90," - ")</f>
        <v xml:space="preserve"> - </v>
      </c>
    </row>
    <row r="91" spans="1:10" x14ac:dyDescent="0.25">
      <c r="A91" s="9"/>
      <c r="B91" s="35"/>
      <c r="C91" s="35"/>
      <c r="D91" s="35"/>
      <c r="E91" s="35"/>
      <c r="F91" s="35"/>
      <c r="G91" s="36" t="str">
        <f t="shared" si="2"/>
        <v xml:space="preserve"> - </v>
      </c>
      <c r="H91" s="61" t="str">
        <f ca="1">IF(COUNTIF(G$13:OFFSET(G91,-1,0),$G91)&gt;=1,$G91," - ")</f>
        <v xml:space="preserve"> - </v>
      </c>
      <c r="I91" s="61" t="str">
        <f ca="1">IF(COUNTIF(H$13:OFFSET(H91,-1,0),$G91)&gt;=1,$G91," - ")</f>
        <v xml:space="preserve"> - </v>
      </c>
      <c r="J91" s="61" t="str">
        <f ca="1">IF(COUNTIF(I$13:OFFSET(I91,-1,0),$G91)&gt;=1,$G91," - ")</f>
        <v xml:space="preserve"> - </v>
      </c>
    </row>
    <row r="92" spans="1:10" x14ac:dyDescent="0.25">
      <c r="A92" s="9"/>
      <c r="B92" s="9"/>
      <c r="C92" s="9"/>
      <c r="D92" s="9"/>
      <c r="E92" s="9"/>
      <c r="F92" s="9"/>
      <c r="G92" s="39"/>
      <c r="H92" s="39"/>
      <c r="I92" s="39"/>
      <c r="J92" s="39"/>
    </row>
    <row r="93" spans="1:10" s="2" customFormat="1" ht="18" customHeight="1" x14ac:dyDescent="0.25">
      <c r="A93" s="28" t="s">
        <v>53</v>
      </c>
      <c r="B93" s="29"/>
      <c r="C93" s="29"/>
      <c r="D93" s="29"/>
      <c r="E93" s="30"/>
      <c r="F93" s="30"/>
      <c r="G93" s="31"/>
      <c r="H93" s="31"/>
      <c r="I93" s="31"/>
      <c r="J93" s="31"/>
    </row>
    <row r="94" spans="1:10" ht="18" customHeight="1" x14ac:dyDescent="0.25">
      <c r="A94" s="32" t="s">
        <v>10</v>
      </c>
      <c r="B94" s="33" t="s">
        <v>11</v>
      </c>
      <c r="C94" s="33" t="s">
        <v>12</v>
      </c>
      <c r="D94" s="33" t="s">
        <v>13</v>
      </c>
      <c r="E94" s="33"/>
      <c r="F94" s="33"/>
      <c r="G94" s="34" t="s">
        <v>16</v>
      </c>
      <c r="H94" s="34" t="str">
        <f>H$13</f>
        <v>2nd Event</v>
      </c>
      <c r="I94" s="34" t="str">
        <f t="shared" ref="I94:J94" si="3">I$13</f>
        <v>3rd Event</v>
      </c>
      <c r="J94" s="34" t="str">
        <f t="shared" si="3"/>
        <v>4th Event</v>
      </c>
    </row>
    <row r="95" spans="1:10" x14ac:dyDescent="0.25">
      <c r="A95" s="9" t="s">
        <v>54</v>
      </c>
      <c r="B95" s="35">
        <f>$B$10</f>
        <v>2025</v>
      </c>
      <c r="C95" s="35">
        <v>1</v>
      </c>
      <c r="D95" s="35">
        <v>1</v>
      </c>
      <c r="E95" s="35"/>
      <c r="F95" s="35"/>
      <c r="G95" s="37">
        <f t="shared" ref="G95:G142" si="4">IF(OR(B95="",OR(C95="",D95=""))," - ",DATE(B95,C95,D95))</f>
        <v>45658</v>
      </c>
      <c r="H95" s="61" t="str">
        <f ca="1">IF(COUNTIF(G$13:OFFSET(G95,-1,0),$G95)&gt;=1,$G95," - ")</f>
        <v xml:space="preserve"> - </v>
      </c>
      <c r="I95" s="61" t="str">
        <f ca="1">IF(COUNTIF(H$13:OFFSET(H95,-1,0),$G95)&gt;=1,$G95," - ")</f>
        <v xml:space="preserve"> - </v>
      </c>
      <c r="J95" s="61" t="str">
        <f ca="1">IF(COUNTIF(I$13:OFFSET(I95,-1,0),$G95)&gt;=1,$G95," - ")</f>
        <v xml:space="preserve"> - </v>
      </c>
    </row>
    <row r="96" spans="1:10" x14ac:dyDescent="0.25">
      <c r="A96" s="9" t="s">
        <v>54</v>
      </c>
      <c r="B96" s="35">
        <f>$B$10+1</f>
        <v>2026</v>
      </c>
      <c r="C96" s="35">
        <v>1</v>
      </c>
      <c r="D96" s="35">
        <v>1</v>
      </c>
      <c r="E96" s="35"/>
      <c r="F96" s="35"/>
      <c r="G96" s="37">
        <f t="shared" si="4"/>
        <v>46023</v>
      </c>
      <c r="H96" s="61" t="str">
        <f ca="1">IF(COUNTIF(G$13:OFFSET(G96,-1,0),$G96)&gt;=1,$G96," - ")</f>
        <v xml:space="preserve"> - </v>
      </c>
      <c r="I96" s="61" t="str">
        <f ca="1">IF(COUNTIF(H$13:OFFSET(H96,-1,0),$G96)&gt;=1,$G96," - ")</f>
        <v xml:space="preserve"> - </v>
      </c>
      <c r="J96" s="61" t="str">
        <f ca="1">IF(COUNTIF(I$13:OFFSET(I96,-1,0),$G96)&gt;=1,$G96," - ")</f>
        <v xml:space="preserve"> - </v>
      </c>
    </row>
    <row r="97" spans="1:10" x14ac:dyDescent="0.25">
      <c r="A97" s="9" t="s">
        <v>55</v>
      </c>
      <c r="B97" s="35">
        <f>$B$10</f>
        <v>2025</v>
      </c>
      <c r="C97" s="35">
        <v>2</v>
      </c>
      <c r="D97" s="35">
        <v>2</v>
      </c>
      <c r="E97" s="35"/>
      <c r="F97" s="35"/>
      <c r="G97" s="37">
        <f t="shared" si="4"/>
        <v>45690</v>
      </c>
      <c r="H97" s="61" t="str">
        <f ca="1">IF(COUNTIF(G$13:OFFSET(G97,-1,0),$G97)&gt;=1,$G97," - ")</f>
        <v xml:space="preserve"> - </v>
      </c>
      <c r="I97" s="61" t="str">
        <f ca="1">IF(COUNTIF(H$13:OFFSET(H97,-1,0),$G97)&gt;=1,$G97," - ")</f>
        <v xml:space="preserve"> - </v>
      </c>
      <c r="J97" s="61" t="str">
        <f ca="1">IF(COUNTIF(I$13:OFFSET(I97,-1,0),$G97)&gt;=1,$G97," - ")</f>
        <v xml:space="preserve"> - </v>
      </c>
    </row>
    <row r="98" spans="1:10" x14ac:dyDescent="0.25">
      <c r="A98" s="9" t="s">
        <v>55</v>
      </c>
      <c r="B98" s="35">
        <f>$B$10+1</f>
        <v>2026</v>
      </c>
      <c r="C98" s="35">
        <v>2</v>
      </c>
      <c r="D98" s="35">
        <v>2</v>
      </c>
      <c r="E98" s="35"/>
      <c r="F98" s="35"/>
      <c r="G98" s="37">
        <f t="shared" si="4"/>
        <v>46055</v>
      </c>
      <c r="H98" s="61" t="str">
        <f ca="1">IF(COUNTIF(G$13:OFFSET(G98,-1,0),$G98)&gt;=1,$G98," - ")</f>
        <v xml:space="preserve"> - </v>
      </c>
      <c r="I98" s="61" t="str">
        <f ca="1">IF(COUNTIF(H$13:OFFSET(H98,-1,0),$G98)&gt;=1,$G98," - ")</f>
        <v xml:space="preserve"> - </v>
      </c>
      <c r="J98" s="61" t="str">
        <f ca="1">IF(COUNTIF(I$13:OFFSET(I98,-1,0),$G98)&gt;=1,$G98," - ")</f>
        <v xml:space="preserve"> - </v>
      </c>
    </row>
    <row r="99" spans="1:10" x14ac:dyDescent="0.25">
      <c r="A99" s="9" t="s">
        <v>56</v>
      </c>
      <c r="B99" s="35">
        <f>$B$10</f>
        <v>2025</v>
      </c>
      <c r="C99" s="35">
        <v>2</v>
      </c>
      <c r="D99" s="35">
        <v>12</v>
      </c>
      <c r="E99" s="35"/>
      <c r="F99" s="35"/>
      <c r="G99" s="37">
        <f t="shared" si="4"/>
        <v>45700</v>
      </c>
      <c r="H99" s="61" t="str">
        <f ca="1">IF(COUNTIF(G$13:OFFSET(G99,-1,0),$G99)&gt;=1,$G99," - ")</f>
        <v xml:space="preserve"> - </v>
      </c>
      <c r="I99" s="61" t="str">
        <f ca="1">IF(COUNTIF(H$13:OFFSET(H99,-1,0),$G99)&gt;=1,$G99," - ")</f>
        <v xml:space="preserve"> - </v>
      </c>
      <c r="J99" s="61" t="str">
        <f ca="1">IF(COUNTIF(I$13:OFFSET(I99,-1,0),$G99)&gt;=1,$G99," - ")</f>
        <v xml:space="preserve"> - </v>
      </c>
    </row>
    <row r="100" spans="1:10" x14ac:dyDescent="0.25">
      <c r="A100" s="9" t="s">
        <v>56</v>
      </c>
      <c r="B100" s="35">
        <f>$B$10+1</f>
        <v>2026</v>
      </c>
      <c r="C100" s="35">
        <v>2</v>
      </c>
      <c r="D100" s="35">
        <v>12</v>
      </c>
      <c r="E100" s="35"/>
      <c r="F100" s="35"/>
      <c r="G100" s="37">
        <f t="shared" si="4"/>
        <v>46065</v>
      </c>
      <c r="H100" s="61" t="str">
        <f ca="1">IF(COUNTIF(G$13:OFFSET(G100,-1,0),$G100)&gt;=1,$G100," - ")</f>
        <v xml:space="preserve"> - </v>
      </c>
      <c r="I100" s="61" t="str">
        <f ca="1">IF(COUNTIF(H$13:OFFSET(H100,-1,0),$G100)&gt;=1,$G100," - ")</f>
        <v xml:space="preserve"> - </v>
      </c>
      <c r="J100" s="61" t="str">
        <f ca="1">IF(COUNTIF(I$13:OFFSET(I100,-1,0),$G100)&gt;=1,$G100," - ")</f>
        <v xml:space="preserve"> - </v>
      </c>
    </row>
    <row r="101" spans="1:10" x14ac:dyDescent="0.25">
      <c r="A101" t="s">
        <v>57</v>
      </c>
      <c r="B101" s="35">
        <f>$B$10</f>
        <v>2025</v>
      </c>
      <c r="C101" s="35">
        <v>2</v>
      </c>
      <c r="D101" s="35">
        <v>14</v>
      </c>
      <c r="E101" s="35"/>
      <c r="F101" s="35"/>
      <c r="G101" s="37">
        <f t="shared" si="4"/>
        <v>45702</v>
      </c>
      <c r="H101" s="61" t="str">
        <f ca="1">IF(COUNTIF(G$13:OFFSET(G101,-1,0),$G101)&gt;=1,$G101," - ")</f>
        <v xml:space="preserve"> - </v>
      </c>
      <c r="I101" s="61" t="str">
        <f ca="1">IF(COUNTIF(H$13:OFFSET(H101,-1,0),$G101)&gt;=1,$G101," - ")</f>
        <v xml:space="preserve"> - </v>
      </c>
      <c r="J101" s="61" t="str">
        <f ca="1">IF(COUNTIF(I$13:OFFSET(I101,-1,0),$G101)&gt;=1,$G101," - ")</f>
        <v xml:space="preserve"> - </v>
      </c>
    </row>
    <row r="102" spans="1:10" x14ac:dyDescent="0.25">
      <c r="A102" t="s">
        <v>57</v>
      </c>
      <c r="B102" s="35">
        <f>$B$10+1</f>
        <v>2026</v>
      </c>
      <c r="C102" s="35">
        <v>2</v>
      </c>
      <c r="D102" s="35">
        <v>14</v>
      </c>
      <c r="E102" s="35"/>
      <c r="F102" s="35"/>
      <c r="G102" s="37">
        <f t="shared" si="4"/>
        <v>46067</v>
      </c>
      <c r="H102" s="61" t="str">
        <f ca="1">IF(COUNTIF(G$13:OFFSET(G102,-1,0),$G102)&gt;=1,$G102," - ")</f>
        <v xml:space="preserve"> - </v>
      </c>
      <c r="I102" s="61" t="str">
        <f ca="1">IF(COUNTIF(H$13:OFFSET(H102,-1,0),$G102)&gt;=1,$G102," - ")</f>
        <v xml:space="preserve"> - </v>
      </c>
      <c r="J102" s="61" t="str">
        <f ca="1">IF(COUNTIF(I$13:OFFSET(I102,-1,0),$G102)&gt;=1,$G102," - ")</f>
        <v xml:space="preserve"> - </v>
      </c>
    </row>
    <row r="103" spans="1:10" x14ac:dyDescent="0.25">
      <c r="A103" s="9" t="s">
        <v>58</v>
      </c>
      <c r="B103" s="35">
        <f>$B$10</f>
        <v>2025</v>
      </c>
      <c r="C103" s="35">
        <v>3</v>
      </c>
      <c r="D103" s="35">
        <v>17</v>
      </c>
      <c r="E103" s="35"/>
      <c r="F103" s="35"/>
      <c r="G103" s="37">
        <f t="shared" si="4"/>
        <v>45733</v>
      </c>
      <c r="H103" s="61" t="str">
        <f ca="1">IF(COUNTIF(G$13:OFFSET(G103,-1,0),$G103)&gt;=1,$G103," - ")</f>
        <v xml:space="preserve"> - </v>
      </c>
      <c r="I103" s="61" t="str">
        <f ca="1">IF(COUNTIF(H$13:OFFSET(H103,-1,0),$G103)&gt;=1,$G103," - ")</f>
        <v xml:space="preserve"> - </v>
      </c>
      <c r="J103" s="61" t="str">
        <f ca="1">IF(COUNTIF(I$13:OFFSET(I103,-1,0),$G103)&gt;=1,$G103," - ")</f>
        <v xml:space="preserve"> - </v>
      </c>
    </row>
    <row r="104" spans="1:10" x14ac:dyDescent="0.25">
      <c r="A104" s="9" t="s">
        <v>58</v>
      </c>
      <c r="B104" s="35">
        <f>$B$10+1</f>
        <v>2026</v>
      </c>
      <c r="C104" s="35">
        <v>3</v>
      </c>
      <c r="D104" s="35">
        <v>17</v>
      </c>
      <c r="E104" s="35"/>
      <c r="F104" s="35"/>
      <c r="G104" s="37">
        <f t="shared" si="4"/>
        <v>46098</v>
      </c>
      <c r="H104" s="61" t="str">
        <f ca="1">IF(COUNTIF(G$13:OFFSET(G104,-1,0),$G104)&gt;=1,$G104," - ")</f>
        <v xml:space="preserve"> - </v>
      </c>
      <c r="I104" s="61" t="str">
        <f ca="1">IF(COUNTIF(H$13:OFFSET(H104,-1,0),$G104)&gt;=1,$G104," - ")</f>
        <v xml:space="preserve"> - </v>
      </c>
      <c r="J104" s="61" t="str">
        <f ca="1">IF(COUNTIF(I$13:OFFSET(I104,-1,0),$G104)&gt;=1,$G104," - ")</f>
        <v xml:space="preserve"> - </v>
      </c>
    </row>
    <row r="105" spans="1:10" x14ac:dyDescent="0.25">
      <c r="A105" s="9" t="s">
        <v>59</v>
      </c>
      <c r="B105" s="35">
        <f>$B$10</f>
        <v>2025</v>
      </c>
      <c r="C105" s="35">
        <v>4</v>
      </c>
      <c r="D105" s="35">
        <v>1</v>
      </c>
      <c r="E105" s="35"/>
      <c r="F105" s="35"/>
      <c r="G105" s="37">
        <f t="shared" si="4"/>
        <v>45748</v>
      </c>
      <c r="H105" s="61" t="str">
        <f ca="1">IF(COUNTIF(G$13:OFFSET(G105,-1,0),$G105)&gt;=1,$G105," - ")</f>
        <v xml:space="preserve"> - </v>
      </c>
      <c r="I105" s="61" t="str">
        <f ca="1">IF(COUNTIF(H$13:OFFSET(H105,-1,0),$G105)&gt;=1,$G105," - ")</f>
        <v xml:space="preserve"> - </v>
      </c>
      <c r="J105" s="61" t="str">
        <f ca="1">IF(COUNTIF(I$13:OFFSET(I105,-1,0),$G105)&gt;=1,$G105," - ")</f>
        <v xml:space="preserve"> - </v>
      </c>
    </row>
    <row r="106" spans="1:10" x14ac:dyDescent="0.25">
      <c r="A106" s="9" t="s">
        <v>59</v>
      </c>
      <c r="B106" s="35">
        <f>$B$10+1</f>
        <v>2026</v>
      </c>
      <c r="C106" s="35">
        <v>4</v>
      </c>
      <c r="D106" s="35">
        <v>1</v>
      </c>
      <c r="E106" s="35"/>
      <c r="F106" s="35"/>
      <c r="G106" s="37">
        <f t="shared" si="4"/>
        <v>46113</v>
      </c>
      <c r="H106" s="61" t="str">
        <f ca="1">IF(COUNTIF(G$13:OFFSET(G106,-1,0),$G106)&gt;=1,$G106," - ")</f>
        <v xml:space="preserve"> - </v>
      </c>
      <c r="I106" s="61" t="str">
        <f ca="1">IF(COUNTIF(H$13:OFFSET(H106,-1,0),$G106)&gt;=1,$G106," - ")</f>
        <v xml:space="preserve"> - </v>
      </c>
      <c r="J106" s="61" t="str">
        <f ca="1">IF(COUNTIF(I$13:OFFSET(I106,-1,0),$G106)&gt;=1,$G106," - ")</f>
        <v xml:space="preserve"> - </v>
      </c>
    </row>
    <row r="107" spans="1:10" x14ac:dyDescent="0.25">
      <c r="A107" s="9" t="s">
        <v>60</v>
      </c>
      <c r="B107" s="35">
        <f>$B$10</f>
        <v>2025</v>
      </c>
      <c r="C107" s="35">
        <v>4</v>
      </c>
      <c r="D107" s="35">
        <v>22</v>
      </c>
      <c r="E107" s="35"/>
      <c r="F107" s="35"/>
      <c r="G107" s="37">
        <f t="shared" si="4"/>
        <v>45769</v>
      </c>
      <c r="H107" s="61" t="str">
        <f ca="1">IF(COUNTIF(G$13:OFFSET(G107,-1,0),$G107)&gt;=1,$G107," - ")</f>
        <v xml:space="preserve"> - </v>
      </c>
      <c r="I107" s="61" t="str">
        <f ca="1">IF(COUNTIF(H$13:OFFSET(H107,-1,0),$G107)&gt;=1,$G107," - ")</f>
        <v xml:space="preserve"> - </v>
      </c>
      <c r="J107" s="61" t="str">
        <f ca="1">IF(COUNTIF(I$13:OFFSET(I107,-1,0),$G107)&gt;=1,$G107," - ")</f>
        <v xml:space="preserve"> - </v>
      </c>
    </row>
    <row r="108" spans="1:10" x14ac:dyDescent="0.25">
      <c r="A108" s="9" t="s">
        <v>60</v>
      </c>
      <c r="B108" s="35">
        <f>$B$10+1</f>
        <v>2026</v>
      </c>
      <c r="C108" s="35">
        <v>4</v>
      </c>
      <c r="D108" s="35">
        <v>22</v>
      </c>
      <c r="E108" s="35"/>
      <c r="F108" s="35"/>
      <c r="G108" s="37">
        <f t="shared" si="4"/>
        <v>46134</v>
      </c>
      <c r="H108" s="61">
        <f ca="1">IF(COUNTIF(G$13:OFFSET(G108,-1,0),$G108)&gt;=1,$G108," - ")</f>
        <v>46134</v>
      </c>
      <c r="I108" s="61" t="str">
        <f ca="1">IF(COUNTIF(H$13:OFFSET(H108,-1,0),$G108)&gt;=1,$G108," - ")</f>
        <v xml:space="preserve"> - </v>
      </c>
      <c r="J108" s="61" t="str">
        <f ca="1">IF(COUNTIF(I$13:OFFSET(I108,-1,0),$G108)&gt;=1,$G108," - ")</f>
        <v xml:space="preserve"> - </v>
      </c>
    </row>
    <row r="109" spans="1:10" x14ac:dyDescent="0.25">
      <c r="A109" s="9" t="s">
        <v>61</v>
      </c>
      <c r="B109" s="35">
        <f>$B$10</f>
        <v>2025</v>
      </c>
      <c r="C109" s="35">
        <v>5</v>
      </c>
      <c r="D109" s="35">
        <v>5</v>
      </c>
      <c r="E109" s="35"/>
      <c r="F109" s="35"/>
      <c r="G109" s="37">
        <f t="shared" si="4"/>
        <v>45782</v>
      </c>
      <c r="H109" s="61" t="str">
        <f ca="1">IF(COUNTIF(G$13:OFFSET(G109,-1,0),$G109)&gt;=1,$G109," - ")</f>
        <v xml:space="preserve"> - </v>
      </c>
      <c r="I109" s="61" t="str">
        <f ca="1">IF(COUNTIF(H$13:OFFSET(H109,-1,0),$G109)&gt;=1,$G109," - ")</f>
        <v xml:space="preserve"> - </v>
      </c>
      <c r="J109" s="61" t="str">
        <f ca="1">IF(COUNTIF(I$13:OFFSET(I109,-1,0),$G109)&gt;=1,$G109," - ")</f>
        <v xml:space="preserve"> - </v>
      </c>
    </row>
    <row r="110" spans="1:10" x14ac:dyDescent="0.25">
      <c r="A110" s="9" t="s">
        <v>61</v>
      </c>
      <c r="B110" s="35">
        <f>$B$10+1</f>
        <v>2026</v>
      </c>
      <c r="C110" s="35">
        <v>5</v>
      </c>
      <c r="D110" s="35">
        <v>5</v>
      </c>
      <c r="E110" s="35"/>
      <c r="F110" s="35"/>
      <c r="G110" s="37">
        <f t="shared" si="4"/>
        <v>46147</v>
      </c>
      <c r="H110" s="61" t="str">
        <f ca="1">IF(COUNTIF(G$13:OFFSET(G110,-1,0),$G110)&gt;=1,$G110," - ")</f>
        <v xml:space="preserve"> - </v>
      </c>
      <c r="I110" s="61" t="str">
        <f ca="1">IF(COUNTIF(H$13:OFFSET(H110,-1,0),$G110)&gt;=1,$G110," - ")</f>
        <v xml:space="preserve"> - </v>
      </c>
      <c r="J110" s="61" t="str">
        <f ca="1">IF(COUNTIF(I$13:OFFSET(I110,-1,0),$G110)&gt;=1,$G110," - ")</f>
        <v xml:space="preserve"> - </v>
      </c>
    </row>
    <row r="111" spans="1:10" x14ac:dyDescent="0.25">
      <c r="A111" s="9" t="s">
        <v>62</v>
      </c>
      <c r="B111" s="35">
        <f>$B$10</f>
        <v>2025</v>
      </c>
      <c r="C111" s="35">
        <v>6</v>
      </c>
      <c r="D111" s="35">
        <v>14</v>
      </c>
      <c r="E111" s="35"/>
      <c r="F111" s="35"/>
      <c r="G111" s="37">
        <f t="shared" si="4"/>
        <v>45822</v>
      </c>
      <c r="H111" s="61" t="str">
        <f ca="1">IF(COUNTIF(G$13:OFFSET(G111,-1,0),$G111)&gt;=1,$G111," - ")</f>
        <v xml:space="preserve"> - </v>
      </c>
      <c r="I111" s="61" t="str">
        <f ca="1">IF(COUNTIF(H$13:OFFSET(H111,-1,0),$G111)&gt;=1,$G111," - ")</f>
        <v xml:space="preserve"> - </v>
      </c>
      <c r="J111" s="61" t="str">
        <f ca="1">IF(COUNTIF(I$13:OFFSET(I111,-1,0),$G111)&gt;=1,$G111," - ")</f>
        <v xml:space="preserve"> - </v>
      </c>
    </row>
    <row r="112" spans="1:10" x14ac:dyDescent="0.25">
      <c r="A112" s="9" t="s">
        <v>62</v>
      </c>
      <c r="B112" s="35">
        <f>$B$10+1</f>
        <v>2026</v>
      </c>
      <c r="C112" s="35">
        <v>6</v>
      </c>
      <c r="D112" s="35">
        <v>14</v>
      </c>
      <c r="E112" s="35"/>
      <c r="F112" s="35"/>
      <c r="G112" s="37">
        <f t="shared" si="4"/>
        <v>46187</v>
      </c>
      <c r="H112" s="61" t="str">
        <f ca="1">IF(COUNTIF(G$13:OFFSET(G112,-1,0),$G112)&gt;=1,$G112," - ")</f>
        <v xml:space="preserve"> - </v>
      </c>
      <c r="I112" s="61" t="str">
        <f ca="1">IF(COUNTIF(H$13:OFFSET(H112,-1,0),$G112)&gt;=1,$G112," - ")</f>
        <v xml:space="preserve"> - </v>
      </c>
      <c r="J112" s="61" t="str">
        <f ca="1">IF(COUNTIF(I$13:OFFSET(I112,-1,0),$G112)&gt;=1,$G112," - ")</f>
        <v xml:space="preserve"> - </v>
      </c>
    </row>
    <row r="113" spans="1:10" x14ac:dyDescent="0.25">
      <c r="A113" s="9" t="s">
        <v>108</v>
      </c>
      <c r="B113" s="35">
        <f>$B$10</f>
        <v>2025</v>
      </c>
      <c r="C113" s="35">
        <v>6</v>
      </c>
      <c r="D113" s="35">
        <v>19</v>
      </c>
      <c r="E113" s="35"/>
      <c r="F113" s="35"/>
      <c r="G113" s="37">
        <f t="shared" ref="G113" si="5">IF(OR(B113="",OR(C113="",D113=""))," - ",DATE(B113,C113,D113))</f>
        <v>45827</v>
      </c>
      <c r="H113" s="61" t="str">
        <f ca="1">IF(COUNTIF(G$13:OFFSET(G113,-1,0),$G113)&gt;=1,$G113," - ")</f>
        <v xml:space="preserve"> - </v>
      </c>
      <c r="I113" s="61" t="str">
        <f ca="1">IF(COUNTIF(H$13:OFFSET(H113,-1,0),$G113)&gt;=1,$G113," - ")</f>
        <v xml:space="preserve"> - </v>
      </c>
      <c r="J113" s="61" t="str">
        <f ca="1">IF(COUNTIF(I$13:OFFSET(I113,-1,0),$G113)&gt;=1,$G113," - ")</f>
        <v xml:space="preserve"> - </v>
      </c>
    </row>
    <row r="114" spans="1:10" x14ac:dyDescent="0.25">
      <c r="A114" s="9" t="s">
        <v>108</v>
      </c>
      <c r="B114" s="35">
        <f>$B$10+1</f>
        <v>2026</v>
      </c>
      <c r="C114" s="35">
        <v>6</v>
      </c>
      <c r="D114" s="35">
        <v>19</v>
      </c>
      <c r="E114" s="35"/>
      <c r="F114" s="35"/>
      <c r="G114" s="37">
        <f t="shared" ref="G114" si="6">IF(OR(B114="",OR(C114="",D114=""))," - ",DATE(B114,C114,D114))</f>
        <v>46192</v>
      </c>
      <c r="H114" s="61" t="str">
        <f ca="1">IF(COUNTIF(G$13:OFFSET(G114,-1,0),$G114)&gt;=1,$G114," - ")</f>
        <v xml:space="preserve"> - </v>
      </c>
      <c r="I114" s="61" t="str">
        <f ca="1">IF(COUNTIF(H$13:OFFSET(H114,-1,0),$G114)&gt;=1,$G114," - ")</f>
        <v xml:space="preserve"> - </v>
      </c>
      <c r="J114" s="61" t="str">
        <f ca="1">IF(COUNTIF(I$13:OFFSET(I114,-1,0),$G114)&gt;=1,$G114," - ")</f>
        <v xml:space="preserve"> - </v>
      </c>
    </row>
    <row r="115" spans="1:10" x14ac:dyDescent="0.25">
      <c r="A115" s="9" t="s">
        <v>63</v>
      </c>
      <c r="B115" s="35">
        <f>$B$10</f>
        <v>2025</v>
      </c>
      <c r="C115" s="35">
        <v>7</v>
      </c>
      <c r="D115" s="35">
        <v>4</v>
      </c>
      <c r="E115" s="35"/>
      <c r="F115" s="35"/>
      <c r="G115" s="37">
        <f t="shared" si="4"/>
        <v>45842</v>
      </c>
      <c r="H115" s="61" t="str">
        <f ca="1">IF(COUNTIF(G$13:OFFSET(G115,-1,0),$G115)&gt;=1,$G115," - ")</f>
        <v xml:space="preserve"> - </v>
      </c>
      <c r="I115" s="61" t="str">
        <f ca="1">IF(COUNTIF(H$13:OFFSET(H115,-1,0),$G115)&gt;=1,$G115," - ")</f>
        <v xml:space="preserve"> - </v>
      </c>
      <c r="J115" s="61" t="str">
        <f ca="1">IF(COUNTIF(I$13:OFFSET(I115,-1,0),$G115)&gt;=1,$G115," - ")</f>
        <v xml:space="preserve"> - </v>
      </c>
    </row>
    <row r="116" spans="1:10" x14ac:dyDescent="0.25">
      <c r="A116" s="9" t="s">
        <v>63</v>
      </c>
      <c r="B116" s="35">
        <f>$B$10+1</f>
        <v>2026</v>
      </c>
      <c r="C116" s="35">
        <v>7</v>
      </c>
      <c r="D116" s="35">
        <v>4</v>
      </c>
      <c r="E116" s="35"/>
      <c r="F116" s="35"/>
      <c r="G116" s="37">
        <f t="shared" si="4"/>
        <v>46207</v>
      </c>
      <c r="H116" s="61" t="str">
        <f ca="1">IF(COUNTIF(G$13:OFFSET(G116,-1,0),$G116)&gt;=1,$G116," - ")</f>
        <v xml:space="preserve"> - </v>
      </c>
      <c r="I116" s="61" t="str">
        <f ca="1">IF(COUNTIF(H$13:OFFSET(H116,-1,0),$G116)&gt;=1,$G116," - ")</f>
        <v xml:space="preserve"> - </v>
      </c>
      <c r="J116" s="61" t="str">
        <f ca="1">IF(COUNTIF(I$13:OFFSET(I116,-1,0),$G116)&gt;=1,$G116," - ")</f>
        <v xml:space="preserve"> - </v>
      </c>
    </row>
    <row r="117" spans="1:10" x14ac:dyDescent="0.25">
      <c r="A117" s="9" t="s">
        <v>64</v>
      </c>
      <c r="B117" s="35">
        <f>$B$10</f>
        <v>2025</v>
      </c>
      <c r="C117" s="35">
        <v>8</v>
      </c>
      <c r="D117" s="35">
        <v>19</v>
      </c>
      <c r="E117" s="35"/>
      <c r="F117" s="35"/>
      <c r="G117" s="37">
        <f t="shared" si="4"/>
        <v>45888</v>
      </c>
      <c r="H117" s="61" t="str">
        <f ca="1">IF(COUNTIF(G$13:OFFSET(G117,-1,0),$G117)&gt;=1,$G117," - ")</f>
        <v xml:space="preserve"> - </v>
      </c>
      <c r="I117" s="61" t="str">
        <f ca="1">IF(COUNTIF(H$13:OFFSET(H117,-1,0),$G117)&gt;=1,$G117," - ")</f>
        <v xml:space="preserve"> - </v>
      </c>
      <c r="J117" s="61" t="str">
        <f ca="1">IF(COUNTIF(I$13:OFFSET(I117,-1,0),$G117)&gt;=1,$G117," - ")</f>
        <v xml:space="preserve"> - </v>
      </c>
    </row>
    <row r="118" spans="1:10" x14ac:dyDescent="0.25">
      <c r="A118" s="9" t="s">
        <v>64</v>
      </c>
      <c r="B118" s="35">
        <f>$B$10+1</f>
        <v>2026</v>
      </c>
      <c r="C118" s="35">
        <v>8</v>
      </c>
      <c r="D118" s="35">
        <v>19</v>
      </c>
      <c r="E118" s="35"/>
      <c r="F118" s="35"/>
      <c r="G118" s="37">
        <f t="shared" si="4"/>
        <v>46253</v>
      </c>
      <c r="H118" s="61" t="str">
        <f ca="1">IF(COUNTIF(G$13:OFFSET(G118,-1,0),$G118)&gt;=1,$G118," - ")</f>
        <v xml:space="preserve"> - </v>
      </c>
      <c r="I118" s="61" t="str">
        <f ca="1">IF(COUNTIF(H$13:OFFSET(H118,-1,0),$G118)&gt;=1,$G118," - ")</f>
        <v xml:space="preserve"> - </v>
      </c>
      <c r="J118" s="61" t="str">
        <f ca="1">IF(COUNTIF(I$13:OFFSET(I118,-1,0),$G118)&gt;=1,$G118," - ")</f>
        <v xml:space="preserve"> - </v>
      </c>
    </row>
    <row r="119" spans="1:10" x14ac:dyDescent="0.25">
      <c r="A119" s="9" t="s">
        <v>65</v>
      </c>
      <c r="B119" s="35">
        <f>$B$10</f>
        <v>2025</v>
      </c>
      <c r="C119" s="35">
        <v>9</v>
      </c>
      <c r="D119" s="35">
        <v>11</v>
      </c>
      <c r="E119" s="35"/>
      <c r="F119" s="35"/>
      <c r="G119" s="37">
        <f t="shared" si="4"/>
        <v>45911</v>
      </c>
      <c r="H119" s="61" t="str">
        <f ca="1">IF(COUNTIF(G$13:OFFSET(G119,-1,0),$G119)&gt;=1,$G119," - ")</f>
        <v xml:space="preserve"> - </v>
      </c>
      <c r="I119" s="61" t="str">
        <f ca="1">IF(COUNTIF(H$13:OFFSET(H119,-1,0),$G119)&gt;=1,$G119," - ")</f>
        <v xml:space="preserve"> - </v>
      </c>
      <c r="J119" s="61" t="str">
        <f ca="1">IF(COUNTIF(I$13:OFFSET(I119,-1,0),$G119)&gt;=1,$G119," - ")</f>
        <v xml:space="preserve"> - </v>
      </c>
    </row>
    <row r="120" spans="1:10" x14ac:dyDescent="0.25">
      <c r="A120" s="9" t="s">
        <v>65</v>
      </c>
      <c r="B120" s="35">
        <f>$B$10+1</f>
        <v>2026</v>
      </c>
      <c r="C120" s="35">
        <v>9</v>
      </c>
      <c r="D120" s="35">
        <v>11</v>
      </c>
      <c r="E120" s="35"/>
      <c r="F120" s="35"/>
      <c r="G120" s="37">
        <f t="shared" si="4"/>
        <v>46276</v>
      </c>
      <c r="H120" s="61" t="str">
        <f ca="1">IF(COUNTIF(G$13:OFFSET(G120,-1,0),$G120)&gt;=1,$G120," - ")</f>
        <v xml:space="preserve"> - </v>
      </c>
      <c r="I120" s="61" t="str">
        <f ca="1">IF(COUNTIF(H$13:OFFSET(H120,-1,0),$G120)&gt;=1,$G120," - ")</f>
        <v xml:space="preserve"> - </v>
      </c>
      <c r="J120" s="61" t="str">
        <f ca="1">IF(COUNTIF(I$13:OFFSET(I120,-1,0),$G120)&gt;=1,$G120," - ")</f>
        <v xml:space="preserve"> - </v>
      </c>
    </row>
    <row r="121" spans="1:10" x14ac:dyDescent="0.25">
      <c r="A121" s="9" t="s">
        <v>66</v>
      </c>
      <c r="B121" s="35">
        <f>$B$10</f>
        <v>2025</v>
      </c>
      <c r="C121" s="35">
        <v>9</v>
      </c>
      <c r="D121" s="35">
        <v>17</v>
      </c>
      <c r="E121" s="35"/>
      <c r="F121" s="35"/>
      <c r="G121" s="37">
        <f t="shared" si="4"/>
        <v>45917</v>
      </c>
      <c r="H121" s="61" t="str">
        <f ca="1">IF(COUNTIF(G$13:OFFSET(G121,-1,0),$G121)&gt;=1,$G121," - ")</f>
        <v xml:space="preserve"> - </v>
      </c>
      <c r="I121" s="61" t="str">
        <f ca="1">IF(COUNTIF(H$13:OFFSET(H121,-1,0),$G121)&gt;=1,$G121," - ")</f>
        <v xml:space="preserve"> - </v>
      </c>
      <c r="J121" s="61" t="str">
        <f ca="1">IF(COUNTIF(I$13:OFFSET(I121,-1,0),$G121)&gt;=1,$G121," - ")</f>
        <v xml:space="preserve"> - </v>
      </c>
    </row>
    <row r="122" spans="1:10" x14ac:dyDescent="0.25">
      <c r="A122" s="9" t="s">
        <v>66</v>
      </c>
      <c r="B122" s="35">
        <f>$B$10+1</f>
        <v>2026</v>
      </c>
      <c r="C122" s="35">
        <v>9</v>
      </c>
      <c r="D122" s="35">
        <v>17</v>
      </c>
      <c r="E122" s="35"/>
      <c r="F122" s="35"/>
      <c r="G122" s="37">
        <f t="shared" si="4"/>
        <v>46282</v>
      </c>
      <c r="H122" s="61" t="str">
        <f ca="1">IF(COUNTIF(G$13:OFFSET(G122,-1,0),$G122)&gt;=1,$G122," - ")</f>
        <v xml:space="preserve"> - </v>
      </c>
      <c r="I122" s="61" t="str">
        <f ca="1">IF(COUNTIF(H$13:OFFSET(H122,-1,0),$G122)&gt;=1,$G122," - ")</f>
        <v xml:space="preserve"> - </v>
      </c>
      <c r="J122" s="61" t="str">
        <f ca="1">IF(COUNTIF(I$13:OFFSET(I122,-1,0),$G122)&gt;=1,$G122," - ")</f>
        <v xml:space="preserve"> - </v>
      </c>
    </row>
    <row r="123" spans="1:10" x14ac:dyDescent="0.25">
      <c r="A123" s="9" t="s">
        <v>67</v>
      </c>
      <c r="B123" s="35">
        <f>$B$10</f>
        <v>2025</v>
      </c>
      <c r="C123" s="35">
        <v>10</v>
      </c>
      <c r="D123" s="35">
        <v>16</v>
      </c>
      <c r="E123" s="35"/>
      <c r="F123" s="35"/>
      <c r="G123" s="37">
        <f t="shared" si="4"/>
        <v>45946</v>
      </c>
      <c r="H123" s="61" t="str">
        <f ca="1">IF(COUNTIF(G$13:OFFSET(G123,-1,0),$G123)&gt;=1,$G123," - ")</f>
        <v xml:space="preserve"> - </v>
      </c>
      <c r="I123" s="61" t="str">
        <f ca="1">IF(COUNTIF(H$13:OFFSET(H123,-1,0),$G123)&gt;=1,$G123," - ")</f>
        <v xml:space="preserve"> - </v>
      </c>
      <c r="J123" s="61" t="str">
        <f ca="1">IF(COUNTIF(I$13:OFFSET(I123,-1,0),$G123)&gt;=1,$G123," - ")</f>
        <v xml:space="preserve"> - </v>
      </c>
    </row>
    <row r="124" spans="1:10" x14ac:dyDescent="0.25">
      <c r="A124" s="9" t="s">
        <v>67</v>
      </c>
      <c r="B124" s="35">
        <f>$B$10+1</f>
        <v>2026</v>
      </c>
      <c r="C124" s="35">
        <v>10</v>
      </c>
      <c r="D124" s="35">
        <v>16</v>
      </c>
      <c r="E124" s="35"/>
      <c r="F124" s="35"/>
      <c r="G124" s="37">
        <f t="shared" si="4"/>
        <v>46311</v>
      </c>
      <c r="H124" s="61" t="str">
        <f ca="1">IF(COUNTIF(G$13:OFFSET(G124,-1,0),$G124)&gt;=1,$G124," - ")</f>
        <v xml:space="preserve"> - </v>
      </c>
      <c r="I124" s="61" t="str">
        <f ca="1">IF(COUNTIF(H$13:OFFSET(H124,-1,0),$G124)&gt;=1,$G124," - ")</f>
        <v xml:space="preserve"> - </v>
      </c>
      <c r="J124" s="61" t="str">
        <f ca="1">IF(COUNTIF(I$13:OFFSET(I124,-1,0),$G124)&gt;=1,$G124," - ")</f>
        <v xml:space="preserve"> - </v>
      </c>
    </row>
    <row r="125" spans="1:10" x14ac:dyDescent="0.25">
      <c r="A125" s="9" t="s">
        <v>68</v>
      </c>
      <c r="B125" s="35">
        <f>$B$10</f>
        <v>2025</v>
      </c>
      <c r="C125" s="35">
        <v>10</v>
      </c>
      <c r="D125" s="35">
        <v>24</v>
      </c>
      <c r="E125" s="35"/>
      <c r="F125" s="35"/>
      <c r="G125" s="37">
        <f t="shared" si="4"/>
        <v>45954</v>
      </c>
      <c r="H125" s="61" t="str">
        <f ca="1">IF(COUNTIF(G$13:OFFSET(G125,-1,0),$G125)&gt;=1,$G125," - ")</f>
        <v xml:space="preserve"> - </v>
      </c>
      <c r="I125" s="61" t="str">
        <f ca="1">IF(COUNTIF(H$13:OFFSET(H125,-1,0),$G125)&gt;=1,$G125," - ")</f>
        <v xml:space="preserve"> - </v>
      </c>
      <c r="J125" s="61" t="str">
        <f ca="1">IF(COUNTIF(I$13:OFFSET(I125,-1,0),$G125)&gt;=1,$G125," - ")</f>
        <v xml:space="preserve"> - </v>
      </c>
    </row>
    <row r="126" spans="1:10" x14ac:dyDescent="0.25">
      <c r="A126" s="9" t="s">
        <v>68</v>
      </c>
      <c r="B126" s="35">
        <f>$B$10+1</f>
        <v>2026</v>
      </c>
      <c r="C126" s="35">
        <v>10</v>
      </c>
      <c r="D126" s="35">
        <v>24</v>
      </c>
      <c r="E126" s="35"/>
      <c r="F126" s="35"/>
      <c r="G126" s="37">
        <f t="shared" si="4"/>
        <v>46319</v>
      </c>
      <c r="H126" s="61" t="str">
        <f ca="1">IF(COUNTIF(G$13:OFFSET(G126,-1,0),$G126)&gt;=1,$G126," - ")</f>
        <v xml:space="preserve"> - </v>
      </c>
      <c r="I126" s="61" t="str">
        <f ca="1">IF(COUNTIF(H$13:OFFSET(H126,-1,0),$G126)&gt;=1,$G126," - ")</f>
        <v xml:space="preserve"> - </v>
      </c>
      <c r="J126" s="61" t="str">
        <f ca="1">IF(COUNTIF(I$13:OFFSET(I126,-1,0),$G126)&gt;=1,$G126," - ")</f>
        <v xml:space="preserve"> - </v>
      </c>
    </row>
    <row r="127" spans="1:10" x14ac:dyDescent="0.25">
      <c r="A127" s="9" t="s">
        <v>69</v>
      </c>
      <c r="B127" s="35">
        <f>$B$10</f>
        <v>2025</v>
      </c>
      <c r="C127" s="35">
        <v>10</v>
      </c>
      <c r="D127" s="35">
        <v>31</v>
      </c>
      <c r="E127" s="35"/>
      <c r="F127" s="35"/>
      <c r="G127" s="37">
        <f t="shared" si="4"/>
        <v>45961</v>
      </c>
      <c r="H127" s="61" t="str">
        <f ca="1">IF(COUNTIF(G$13:OFFSET(G127,-1,0),$G127)&gt;=1,$G127," - ")</f>
        <v xml:space="preserve"> - </v>
      </c>
      <c r="I127" s="61" t="str">
        <f ca="1">IF(COUNTIF(H$13:OFFSET(H127,-1,0),$G127)&gt;=1,$G127," - ")</f>
        <v xml:space="preserve"> - </v>
      </c>
      <c r="J127" s="61" t="str">
        <f ca="1">IF(COUNTIF(I$13:OFFSET(I127,-1,0),$G127)&gt;=1,$G127," - ")</f>
        <v xml:space="preserve"> - </v>
      </c>
    </row>
    <row r="128" spans="1:10" x14ac:dyDescent="0.25">
      <c r="A128" s="9" t="s">
        <v>69</v>
      </c>
      <c r="B128" s="35">
        <f>$B$10+1</f>
        <v>2026</v>
      </c>
      <c r="C128" s="35">
        <v>10</v>
      </c>
      <c r="D128" s="35">
        <v>31</v>
      </c>
      <c r="E128" s="35"/>
      <c r="F128" s="35"/>
      <c r="G128" s="37">
        <f t="shared" si="4"/>
        <v>46326</v>
      </c>
      <c r="H128" s="61" t="str">
        <f ca="1">IF(COUNTIF(G$13:OFFSET(G128,-1,0),$G128)&gt;=1,$G128," - ")</f>
        <v xml:space="preserve"> - </v>
      </c>
      <c r="I128" s="61" t="str">
        <f ca="1">IF(COUNTIF(H$13:OFFSET(H128,-1,0),$G128)&gt;=1,$G128," - ")</f>
        <v xml:space="preserve"> - </v>
      </c>
      <c r="J128" s="61" t="str">
        <f ca="1">IF(COUNTIF(I$13:OFFSET(I128,-1,0),$G128)&gt;=1,$G128," - ")</f>
        <v xml:space="preserve"> - </v>
      </c>
    </row>
    <row r="129" spans="1:10" x14ac:dyDescent="0.25">
      <c r="A129" s="9" t="s">
        <v>70</v>
      </c>
      <c r="B129" s="35">
        <f>$B$10</f>
        <v>2025</v>
      </c>
      <c r="C129" s="35">
        <v>11</v>
      </c>
      <c r="D129" s="35">
        <v>11</v>
      </c>
      <c r="E129" s="35"/>
      <c r="F129" s="35"/>
      <c r="G129" s="37">
        <f t="shared" si="4"/>
        <v>45972</v>
      </c>
      <c r="H129" s="61" t="str">
        <f ca="1">IF(COUNTIF(G$13:OFFSET(G129,-1,0),$G129)&gt;=1,$G129," - ")</f>
        <v xml:space="preserve"> - </v>
      </c>
      <c r="I129" s="61" t="str">
        <f ca="1">IF(COUNTIF(H$13:OFFSET(H129,-1,0),$G129)&gt;=1,$G129," - ")</f>
        <v xml:space="preserve"> - </v>
      </c>
      <c r="J129" s="61" t="str">
        <f ca="1">IF(COUNTIF(I$13:OFFSET(I129,-1,0),$G129)&gt;=1,$G129," - ")</f>
        <v xml:space="preserve"> - </v>
      </c>
    </row>
    <row r="130" spans="1:10" x14ac:dyDescent="0.25">
      <c r="A130" s="9" t="s">
        <v>70</v>
      </c>
      <c r="B130" s="35">
        <f>$B$10+1</f>
        <v>2026</v>
      </c>
      <c r="C130" s="35">
        <v>11</v>
      </c>
      <c r="D130" s="35">
        <v>11</v>
      </c>
      <c r="E130" s="35"/>
      <c r="F130" s="35"/>
      <c r="G130" s="37">
        <f t="shared" si="4"/>
        <v>46337</v>
      </c>
      <c r="H130" s="61" t="str">
        <f ca="1">IF(COUNTIF(G$13:OFFSET(G130,-1,0),$G130)&gt;=1,$G130," - ")</f>
        <v xml:space="preserve"> - </v>
      </c>
      <c r="I130" s="61" t="str">
        <f ca="1">IF(COUNTIF(H$13:OFFSET(H130,-1,0),$G130)&gt;=1,$G130," - ")</f>
        <v xml:space="preserve"> - </v>
      </c>
      <c r="J130" s="61" t="str">
        <f ca="1">IF(COUNTIF(I$13:OFFSET(I130,-1,0),$G130)&gt;=1,$G130," - ")</f>
        <v xml:space="preserve"> - </v>
      </c>
    </row>
    <row r="131" spans="1:10" x14ac:dyDescent="0.25">
      <c r="A131" s="9" t="s">
        <v>71</v>
      </c>
      <c r="B131" s="35">
        <f>$B$10</f>
        <v>2025</v>
      </c>
      <c r="C131" s="35">
        <v>12</v>
      </c>
      <c r="D131" s="35">
        <v>7</v>
      </c>
      <c r="E131" s="35"/>
      <c r="F131" s="35"/>
      <c r="G131" s="37">
        <f t="shared" si="4"/>
        <v>45998</v>
      </c>
      <c r="H131" s="61" t="str">
        <f ca="1">IF(COUNTIF(G$13:OFFSET(G131,-1,0),$G131)&gt;=1,$G131," - ")</f>
        <v xml:space="preserve"> - </v>
      </c>
      <c r="I131" s="61" t="str">
        <f ca="1">IF(COUNTIF(H$13:OFFSET(H131,-1,0),$G131)&gt;=1,$G131," - ")</f>
        <v xml:space="preserve"> - </v>
      </c>
      <c r="J131" s="61" t="str">
        <f ca="1">IF(COUNTIF(I$13:OFFSET(I131,-1,0),$G131)&gt;=1,$G131," - ")</f>
        <v xml:space="preserve"> - </v>
      </c>
    </row>
    <row r="132" spans="1:10" x14ac:dyDescent="0.25">
      <c r="A132" s="9" t="s">
        <v>71</v>
      </c>
      <c r="B132" s="35">
        <f>$B$10+1</f>
        <v>2026</v>
      </c>
      <c r="C132" s="35">
        <v>12</v>
      </c>
      <c r="D132" s="35">
        <v>7</v>
      </c>
      <c r="E132" s="35"/>
      <c r="F132" s="35"/>
      <c r="G132" s="37">
        <f t="shared" si="4"/>
        <v>46363</v>
      </c>
      <c r="H132" s="61" t="str">
        <f ca="1">IF(COUNTIF(G$13:OFFSET(G132,-1,0),$G132)&gt;=1,$G132," - ")</f>
        <v xml:space="preserve"> - </v>
      </c>
      <c r="I132" s="61" t="str">
        <f ca="1">IF(COUNTIF(H$13:OFFSET(H132,-1,0),$G132)&gt;=1,$G132," - ")</f>
        <v xml:space="preserve"> - </v>
      </c>
      <c r="J132" s="61" t="str">
        <f ca="1">IF(COUNTIF(I$13:OFFSET(I132,-1,0),$G132)&gt;=1,$G132," - ")</f>
        <v xml:space="preserve"> - </v>
      </c>
    </row>
    <row r="133" spans="1:10" x14ac:dyDescent="0.25">
      <c r="A133" s="9" t="s">
        <v>72</v>
      </c>
      <c r="B133" s="35">
        <f>$B$10</f>
        <v>2025</v>
      </c>
      <c r="C133" s="35">
        <v>12</v>
      </c>
      <c r="D133" s="35">
        <v>24</v>
      </c>
      <c r="E133" s="35"/>
      <c r="F133" s="35"/>
      <c r="G133" s="37">
        <f t="shared" si="4"/>
        <v>46015</v>
      </c>
      <c r="H133" s="61" t="str">
        <f ca="1">IF(COUNTIF(G$13:OFFSET(G133,-1,0),$G133)&gt;=1,$G133," - ")</f>
        <v xml:space="preserve"> - </v>
      </c>
      <c r="I133" s="61" t="str">
        <f ca="1">IF(COUNTIF(H$13:OFFSET(H133,-1,0),$G133)&gt;=1,$G133," - ")</f>
        <v xml:space="preserve"> - </v>
      </c>
      <c r="J133" s="61" t="str">
        <f ca="1">IF(COUNTIF(I$13:OFFSET(I133,-1,0),$G133)&gt;=1,$G133," - ")</f>
        <v xml:space="preserve"> - </v>
      </c>
    </row>
    <row r="134" spans="1:10" x14ac:dyDescent="0.25">
      <c r="A134" s="9" t="s">
        <v>72</v>
      </c>
      <c r="B134" s="35">
        <f>$B$10+1</f>
        <v>2026</v>
      </c>
      <c r="C134" s="35">
        <v>12</v>
      </c>
      <c r="D134" s="35">
        <v>24</v>
      </c>
      <c r="E134" s="35"/>
      <c r="F134" s="35"/>
      <c r="G134" s="37">
        <f t="shared" si="4"/>
        <v>46380</v>
      </c>
      <c r="H134" s="61" t="str">
        <f ca="1">IF(COUNTIF(G$13:OFFSET(G134,-1,0),$G134)&gt;=1,$G134," - ")</f>
        <v xml:space="preserve"> - </v>
      </c>
      <c r="I134" s="61" t="str">
        <f ca="1">IF(COUNTIF(H$13:OFFSET(H134,-1,0),$G134)&gt;=1,$G134," - ")</f>
        <v xml:space="preserve"> - </v>
      </c>
      <c r="J134" s="61" t="str">
        <f ca="1">IF(COUNTIF(I$13:OFFSET(I134,-1,0),$G134)&gt;=1,$G134," - ")</f>
        <v xml:space="preserve"> - </v>
      </c>
    </row>
    <row r="135" spans="1:10" x14ac:dyDescent="0.25">
      <c r="A135" s="9" t="s">
        <v>73</v>
      </c>
      <c r="B135" s="35">
        <f>$B$10</f>
        <v>2025</v>
      </c>
      <c r="C135" s="35">
        <v>12</v>
      </c>
      <c r="D135" s="35">
        <v>25</v>
      </c>
      <c r="E135" s="35"/>
      <c r="F135" s="35"/>
      <c r="G135" s="37">
        <f t="shared" si="4"/>
        <v>46016</v>
      </c>
      <c r="H135" s="61" t="str">
        <f ca="1">IF(COUNTIF(G$13:OFFSET(G135,-1,0),$G135)&gt;=1,$G135," - ")</f>
        <v xml:space="preserve"> - </v>
      </c>
      <c r="I135" s="61" t="str">
        <f ca="1">IF(COUNTIF(H$13:OFFSET(H135,-1,0),$G135)&gt;=1,$G135," - ")</f>
        <v xml:space="preserve"> - </v>
      </c>
      <c r="J135" s="61" t="str">
        <f ca="1">IF(COUNTIF(I$13:OFFSET(I135,-1,0),$G135)&gt;=1,$G135," - ")</f>
        <v xml:space="preserve"> - </v>
      </c>
    </row>
    <row r="136" spans="1:10" x14ac:dyDescent="0.25">
      <c r="A136" s="9" t="s">
        <v>73</v>
      </c>
      <c r="B136" s="35">
        <f>$B$10+1</f>
        <v>2026</v>
      </c>
      <c r="C136" s="35">
        <v>12</v>
      </c>
      <c r="D136" s="35">
        <v>25</v>
      </c>
      <c r="E136" s="35"/>
      <c r="F136" s="35"/>
      <c r="G136" s="37">
        <f t="shared" si="4"/>
        <v>46381</v>
      </c>
      <c r="H136" s="61" t="str">
        <f ca="1">IF(COUNTIF(G$13:OFFSET(G136,-1,0),$G136)&gt;=1,$G136," - ")</f>
        <v xml:space="preserve"> - </v>
      </c>
      <c r="I136" s="61" t="str">
        <f ca="1">IF(COUNTIF(H$13:OFFSET(H136,-1,0),$G136)&gt;=1,$G136," - ")</f>
        <v xml:space="preserve"> - </v>
      </c>
      <c r="J136" s="61" t="str">
        <f ca="1">IF(COUNTIF(I$13:OFFSET(I136,-1,0),$G136)&gt;=1,$G136," - ")</f>
        <v xml:space="preserve"> - </v>
      </c>
    </row>
    <row r="137" spans="1:10" x14ac:dyDescent="0.25">
      <c r="A137" s="9" t="s">
        <v>74</v>
      </c>
      <c r="B137" s="35">
        <f>$B$10</f>
        <v>2025</v>
      </c>
      <c r="C137" s="35">
        <v>12</v>
      </c>
      <c r="D137" s="35">
        <v>26</v>
      </c>
      <c r="E137" s="9"/>
      <c r="F137" s="9"/>
      <c r="G137" s="37">
        <f t="shared" si="4"/>
        <v>46017</v>
      </c>
      <c r="H137" s="61" t="str">
        <f ca="1">IF(COUNTIF(G$13:OFFSET(G137,-1,0),$G137)&gt;=1,$G137," - ")</f>
        <v xml:space="preserve"> - </v>
      </c>
      <c r="I137" s="61" t="str">
        <f ca="1">IF(COUNTIF(H$13:OFFSET(H137,-1,0),$G137)&gt;=1,$G137," - ")</f>
        <v xml:space="preserve"> - </v>
      </c>
      <c r="J137" s="61" t="str">
        <f ca="1">IF(COUNTIF(I$13:OFFSET(I137,-1,0),$G137)&gt;=1,$G137," - ")</f>
        <v xml:space="preserve"> - </v>
      </c>
    </row>
    <row r="138" spans="1:10" x14ac:dyDescent="0.25">
      <c r="A138" s="9" t="s">
        <v>74</v>
      </c>
      <c r="B138" s="35">
        <f>$B$10+1</f>
        <v>2026</v>
      </c>
      <c r="C138" s="35">
        <v>12</v>
      </c>
      <c r="D138" s="35">
        <v>26</v>
      </c>
      <c r="E138" s="9"/>
      <c r="F138" s="9"/>
      <c r="G138" s="37">
        <f t="shared" si="4"/>
        <v>46382</v>
      </c>
      <c r="H138" s="61" t="str">
        <f ca="1">IF(COUNTIF(G$13:OFFSET(G138,-1,0),$G138)&gt;=1,$G138," - ")</f>
        <v xml:space="preserve"> - </v>
      </c>
      <c r="I138" s="61" t="str">
        <f ca="1">IF(COUNTIF(H$13:OFFSET(H138,-1,0),$G138)&gt;=1,$G138," - ")</f>
        <v xml:space="preserve"> - </v>
      </c>
      <c r="J138" s="61" t="str">
        <f ca="1">IF(COUNTIF(I$13:OFFSET(I138,-1,0),$G138)&gt;=1,$G138," - ")</f>
        <v xml:space="preserve"> - </v>
      </c>
    </row>
    <row r="139" spans="1:10" x14ac:dyDescent="0.25">
      <c r="A139" s="9" t="s">
        <v>75</v>
      </c>
      <c r="B139" s="35">
        <f>$B$10</f>
        <v>2025</v>
      </c>
      <c r="C139" s="35">
        <v>12</v>
      </c>
      <c r="D139" s="35">
        <v>26</v>
      </c>
      <c r="E139" s="9"/>
      <c r="F139" s="9"/>
      <c r="G139" s="37">
        <f t="shared" si="4"/>
        <v>46017</v>
      </c>
      <c r="H139" s="61">
        <f ca="1">IF(COUNTIF(G$13:OFFSET(G139,-1,0),$G139)&gt;=1,$G139," - ")</f>
        <v>46017</v>
      </c>
      <c r="I139" s="61" t="str">
        <f ca="1">IF(COUNTIF(H$13:OFFSET(H139,-1,0),$G139)&gt;=1,$G139," - ")</f>
        <v xml:space="preserve"> - </v>
      </c>
      <c r="J139" s="61" t="str">
        <f ca="1">IF(COUNTIF(I$13:OFFSET(I139,-1,0),$G139)&gt;=1,$G139," - ")</f>
        <v xml:space="preserve"> - </v>
      </c>
    </row>
    <row r="140" spans="1:10" x14ac:dyDescent="0.25">
      <c r="A140" s="9" t="s">
        <v>75</v>
      </c>
      <c r="B140" s="35">
        <f>$B$10+1</f>
        <v>2026</v>
      </c>
      <c r="C140" s="35">
        <v>12</v>
      </c>
      <c r="D140" s="35">
        <v>26</v>
      </c>
      <c r="E140" s="9"/>
      <c r="F140" s="9"/>
      <c r="G140" s="37">
        <f t="shared" si="4"/>
        <v>46382</v>
      </c>
      <c r="H140" s="61">
        <f ca="1">IF(COUNTIF(G$13:OFFSET(G140,-1,0),$G140)&gt;=1,$G140," - ")</f>
        <v>46382</v>
      </c>
      <c r="I140" s="61" t="str">
        <f ca="1">IF(COUNTIF(H$13:OFFSET(H140,-1,0),$G140)&gt;=1,$G140," - ")</f>
        <v xml:space="preserve"> - </v>
      </c>
      <c r="J140" s="61" t="str">
        <f ca="1">IF(COUNTIF(I$13:OFFSET(I140,-1,0),$G140)&gt;=1,$G140," - ")</f>
        <v xml:space="preserve"> - </v>
      </c>
    </row>
    <row r="141" spans="1:10" x14ac:dyDescent="0.25">
      <c r="A141" s="9" t="s">
        <v>76</v>
      </c>
      <c r="B141" s="35">
        <f>$B$10</f>
        <v>2025</v>
      </c>
      <c r="C141" s="35">
        <v>12</v>
      </c>
      <c r="D141" s="35">
        <v>31</v>
      </c>
      <c r="E141" s="35"/>
      <c r="F141" s="35"/>
      <c r="G141" s="37">
        <f t="shared" si="4"/>
        <v>46022</v>
      </c>
      <c r="H141" s="61" t="str">
        <f ca="1">IF(COUNTIF(G$13:OFFSET(G141,-1,0),$G141)&gt;=1,$G141," - ")</f>
        <v xml:space="preserve"> - </v>
      </c>
      <c r="I141" s="61" t="str">
        <f ca="1">IF(COUNTIF(H$13:OFFSET(H141,-1,0),$G141)&gt;=1,$G141," - ")</f>
        <v xml:space="preserve"> - </v>
      </c>
      <c r="J141" s="61" t="str">
        <f ca="1">IF(COUNTIF(I$13:OFFSET(I141,-1,0),$G141)&gt;=1,$G141," - ")</f>
        <v xml:space="preserve"> - </v>
      </c>
    </row>
    <row r="142" spans="1:10" x14ac:dyDescent="0.25">
      <c r="A142" s="9" t="s">
        <v>76</v>
      </c>
      <c r="B142" s="35">
        <f>$B$10+1</f>
        <v>2026</v>
      </c>
      <c r="C142" s="35">
        <v>12</v>
      </c>
      <c r="D142" s="35">
        <v>31</v>
      </c>
      <c r="E142" s="35"/>
      <c r="F142" s="35"/>
      <c r="G142" s="37">
        <f t="shared" si="4"/>
        <v>46387</v>
      </c>
      <c r="H142" s="61" t="str">
        <f ca="1">IF(COUNTIF(G$13:OFFSET(G142,-1,0),$G142)&gt;=1,$G142," - ")</f>
        <v xml:space="preserve"> - </v>
      </c>
      <c r="I142" s="61" t="str">
        <f ca="1">IF(COUNTIF(H$13:OFFSET(H142,-1,0),$G142)&gt;=1,$G142," - ")</f>
        <v xml:space="preserve"> - </v>
      </c>
      <c r="J142" s="61" t="str">
        <f ca="1">IF(COUNTIF(I$13:OFFSET(I142,-1,0),$G142)&gt;=1,$G142," - ")</f>
        <v xml:space="preserve"> - </v>
      </c>
    </row>
    <row r="143" spans="1:10" x14ac:dyDescent="0.25">
      <c r="B143" s="35"/>
      <c r="C143" s="41"/>
      <c r="D143" s="35"/>
      <c r="E143" s="35"/>
      <c r="F143" s="35"/>
      <c r="G143" s="37" t="str">
        <f>IF(OR(B143="",OR(C143="",D143=""))," - ",DATE(B143,C143,D143))</f>
        <v xml:space="preserve"> - </v>
      </c>
      <c r="H143" s="61" t="str">
        <f ca="1">IF(COUNTIF(G$13:OFFSET(G143,-1,0),$G143)&gt;=1,$G143," - ")</f>
        <v xml:space="preserve"> - </v>
      </c>
      <c r="I143" s="61" t="str">
        <f ca="1">IF(COUNTIF(H$13:OFFSET(H143,-1,0),$G143)&gt;=1,$G143," - ")</f>
        <v xml:space="preserve"> - </v>
      </c>
      <c r="J143" s="61" t="str">
        <f ca="1">IF(COUNTIF(I$13:OFFSET(I143,-1,0),$G143)&gt;=1,$G143," - ")</f>
        <v xml:space="preserve"> - </v>
      </c>
    </row>
    <row r="144" spans="1:10" x14ac:dyDescent="0.25">
      <c r="B144" s="35"/>
      <c r="C144" s="41"/>
      <c r="D144" s="35"/>
      <c r="E144" s="35"/>
      <c r="F144" s="35"/>
      <c r="G144" s="37" t="str">
        <f t="shared" ref="G144:G179" si="7">IF(OR(B144="",OR(C144="",D144=""))," - ",DATE(B144,C144,D144))</f>
        <v xml:space="preserve"> - </v>
      </c>
      <c r="H144" s="61" t="str">
        <f ca="1">IF(COUNTIF(G$13:OFFSET(G144,-1,0),$G144)&gt;=1,$G144," - ")</f>
        <v xml:space="preserve"> - </v>
      </c>
      <c r="I144" s="61" t="str">
        <f ca="1">IF(COUNTIF(H$13:OFFSET(H144,-1,0),$G144)&gt;=1,$G144," - ")</f>
        <v xml:space="preserve"> - </v>
      </c>
      <c r="J144" s="61" t="str">
        <f ca="1">IF(COUNTIF(I$13:OFFSET(I144,-1,0),$G144)&gt;=1,$G144," - ")</f>
        <v xml:space="preserve"> - </v>
      </c>
    </row>
    <row r="145" spans="2:10" x14ac:dyDescent="0.25">
      <c r="B145" s="35"/>
      <c r="C145" s="41"/>
      <c r="D145" s="35"/>
      <c r="E145" s="35"/>
      <c r="F145" s="35"/>
      <c r="G145" s="37" t="str">
        <f>IF(OR(B145="",OR(C145="",D145=""))," - ",DATE(B145,C145,D145))</f>
        <v xml:space="preserve"> - </v>
      </c>
      <c r="H145" s="61" t="str">
        <f ca="1">IF(COUNTIF(G$13:OFFSET(G145,-1,0),$G145)&gt;=1,$G145," - ")</f>
        <v xml:space="preserve"> - </v>
      </c>
      <c r="I145" s="61" t="str">
        <f ca="1">IF(COUNTIF(H$13:OFFSET(H145,-1,0),$G145)&gt;=1,$G145," - ")</f>
        <v xml:space="preserve"> - </v>
      </c>
      <c r="J145" s="61" t="str">
        <f ca="1">IF(COUNTIF(I$13:OFFSET(I145,-1,0),$G145)&gt;=1,$G145," - ")</f>
        <v xml:space="preserve"> - </v>
      </c>
    </row>
    <row r="146" spans="2:10" x14ac:dyDescent="0.25">
      <c r="B146" s="35"/>
      <c r="C146" s="41"/>
      <c r="D146" s="35"/>
      <c r="E146" s="35"/>
      <c r="F146" s="35"/>
      <c r="G146" s="37" t="str">
        <f t="shared" si="7"/>
        <v xml:space="preserve"> - </v>
      </c>
      <c r="H146" s="61" t="str">
        <f ca="1">IF(COUNTIF(G$13:OFFSET(G146,-1,0),$G146)&gt;=1,$G146," - ")</f>
        <v xml:space="preserve"> - </v>
      </c>
      <c r="I146" s="61" t="str">
        <f ca="1">IF(COUNTIF(H$13:OFFSET(H146,-1,0),$G146)&gt;=1,$G146," - ")</f>
        <v xml:space="preserve"> - </v>
      </c>
      <c r="J146" s="61" t="str">
        <f ca="1">IF(COUNTIF(I$13:OFFSET(I146,-1,0),$G146)&gt;=1,$G146," - ")</f>
        <v xml:space="preserve"> - </v>
      </c>
    </row>
    <row r="147" spans="2:10" x14ac:dyDescent="0.25">
      <c r="B147" s="35"/>
      <c r="C147" s="41"/>
      <c r="D147" s="35"/>
      <c r="E147" s="35"/>
      <c r="F147" s="35"/>
      <c r="G147" s="37" t="str">
        <f t="shared" si="7"/>
        <v xml:space="preserve"> - </v>
      </c>
      <c r="H147" s="61" t="str">
        <f ca="1">IF(COUNTIF(G$13:OFFSET(G147,-1,0),$G147)&gt;=1,$G147," - ")</f>
        <v xml:space="preserve"> - </v>
      </c>
      <c r="I147" s="61" t="str">
        <f ca="1">IF(COUNTIF(H$13:OFFSET(H147,-1,0),$G147)&gt;=1,$G147," - ")</f>
        <v xml:space="preserve"> - </v>
      </c>
      <c r="J147" s="61" t="str">
        <f ca="1">IF(COUNTIF(I$13:OFFSET(I147,-1,0),$G147)&gt;=1,$G147," - ")</f>
        <v xml:space="preserve"> - </v>
      </c>
    </row>
    <row r="148" spans="2:10" x14ac:dyDescent="0.25">
      <c r="B148" s="35"/>
      <c r="C148" s="41"/>
      <c r="D148" s="35"/>
      <c r="E148" s="35"/>
      <c r="F148" s="35"/>
      <c r="G148" s="37" t="str">
        <f t="shared" ref="G148" si="8">IF(OR(B148="",OR(C148="",D148=""))," - ",DATE(B148,C148,D148))</f>
        <v xml:space="preserve"> - </v>
      </c>
      <c r="H148" s="61" t="str">
        <f ca="1">IF(COUNTIF(G$13:OFFSET(G148,-1,0),$G148)&gt;=1,$G148," - ")</f>
        <v xml:space="preserve"> - </v>
      </c>
      <c r="I148" s="61" t="str">
        <f ca="1">IF(COUNTIF(H$13:OFFSET(H148,-1,0),$G148)&gt;=1,$G148," - ")</f>
        <v xml:space="preserve"> - </v>
      </c>
      <c r="J148" s="61" t="str">
        <f ca="1">IF(COUNTIF(I$13:OFFSET(I148,-1,0),$G148)&gt;=1,$G148," - ")</f>
        <v xml:space="preserve"> - </v>
      </c>
    </row>
    <row r="149" spans="2:10" x14ac:dyDescent="0.25">
      <c r="B149" s="35"/>
      <c r="C149" s="41"/>
      <c r="D149" s="35"/>
      <c r="E149" s="35"/>
      <c r="F149" s="35"/>
      <c r="G149" s="37" t="str">
        <f t="shared" si="7"/>
        <v xml:space="preserve"> - </v>
      </c>
      <c r="H149" s="61" t="str">
        <f ca="1">IF(COUNTIF(G$13:OFFSET(G149,-1,0),$G149)&gt;=1,$G149," - ")</f>
        <v xml:space="preserve"> - </v>
      </c>
      <c r="I149" s="61" t="str">
        <f ca="1">IF(COUNTIF(H$13:OFFSET(H149,-1,0),$G149)&gt;=1,$G149," - ")</f>
        <v xml:space="preserve"> - </v>
      </c>
      <c r="J149" s="61" t="str">
        <f ca="1">IF(COUNTIF(I$13:OFFSET(I149,-1,0),$G149)&gt;=1,$G149," - ")</f>
        <v xml:space="preserve"> - </v>
      </c>
    </row>
    <row r="150" spans="2:10" x14ac:dyDescent="0.25">
      <c r="B150" s="35"/>
      <c r="C150" s="41"/>
      <c r="D150" s="35"/>
      <c r="E150" s="35"/>
      <c r="F150" s="35"/>
      <c r="G150" s="37" t="str">
        <f t="shared" si="7"/>
        <v xml:space="preserve"> - </v>
      </c>
      <c r="H150" s="61" t="str">
        <f ca="1">IF(COUNTIF(G$13:OFFSET(G150,-1,0),$G150)&gt;=1,$G150," - ")</f>
        <v xml:space="preserve"> - </v>
      </c>
      <c r="I150" s="61" t="str">
        <f ca="1">IF(COUNTIF(H$13:OFFSET(H150,-1,0),$G150)&gt;=1,$G150," - ")</f>
        <v xml:space="preserve"> - </v>
      </c>
      <c r="J150" s="61" t="str">
        <f ca="1">IF(COUNTIF(I$13:OFFSET(I150,-1,0),$G150)&gt;=1,$G150," - ")</f>
        <v xml:space="preserve"> - </v>
      </c>
    </row>
    <row r="151" spans="2:10" x14ac:dyDescent="0.25">
      <c r="B151" s="35"/>
      <c r="C151" s="41"/>
      <c r="D151" s="35"/>
      <c r="E151" s="35"/>
      <c r="F151" s="35"/>
      <c r="G151" s="37" t="str">
        <f t="shared" si="7"/>
        <v xml:space="preserve"> - </v>
      </c>
      <c r="H151" s="61" t="str">
        <f ca="1">IF(COUNTIF(G$13:OFFSET(G151,-1,0),$G151)&gt;=1,$G151," - ")</f>
        <v xml:space="preserve"> - </v>
      </c>
      <c r="I151" s="61" t="str">
        <f ca="1">IF(COUNTIF(H$13:OFFSET(H151,-1,0),$G151)&gt;=1,$G151," - ")</f>
        <v xml:space="preserve"> - </v>
      </c>
      <c r="J151" s="61" t="str">
        <f ca="1">IF(COUNTIF(I$13:OFFSET(I151,-1,0),$G151)&gt;=1,$G151," - ")</f>
        <v xml:space="preserve"> - </v>
      </c>
    </row>
    <row r="152" spans="2:10" x14ac:dyDescent="0.25">
      <c r="B152" s="35"/>
      <c r="C152" s="41"/>
      <c r="D152" s="35"/>
      <c r="E152" s="35"/>
      <c r="F152" s="35"/>
      <c r="G152" s="37" t="str">
        <f t="shared" si="7"/>
        <v xml:space="preserve"> - </v>
      </c>
      <c r="H152" s="61" t="str">
        <f ca="1">IF(COUNTIF(G$13:OFFSET(G152,-1,0),$G152)&gt;=1,$G152," - ")</f>
        <v xml:space="preserve"> - </v>
      </c>
      <c r="I152" s="61" t="str">
        <f ca="1">IF(COUNTIF(H$13:OFFSET(H152,-1,0),$G152)&gt;=1,$G152," - ")</f>
        <v xml:space="preserve"> - </v>
      </c>
      <c r="J152" s="61" t="str">
        <f ca="1">IF(COUNTIF(I$13:OFFSET(I152,-1,0),$G152)&gt;=1,$G152," - ")</f>
        <v xml:space="preserve"> - </v>
      </c>
    </row>
    <row r="153" spans="2:10" x14ac:dyDescent="0.25">
      <c r="B153" s="35"/>
      <c r="C153" s="41"/>
      <c r="D153" s="35"/>
      <c r="E153" s="35"/>
      <c r="F153" s="35"/>
      <c r="G153" s="37" t="str">
        <f t="shared" si="7"/>
        <v xml:space="preserve"> - </v>
      </c>
      <c r="H153" s="61" t="str">
        <f ca="1">IF(COUNTIF(G$13:OFFSET(G153,-1,0),$G153)&gt;=1,$G153," - ")</f>
        <v xml:space="preserve"> - </v>
      </c>
      <c r="I153" s="61" t="str">
        <f ca="1">IF(COUNTIF(H$13:OFFSET(H153,-1,0),$G153)&gt;=1,$G153," - ")</f>
        <v xml:space="preserve"> - </v>
      </c>
      <c r="J153" s="61" t="str">
        <f ca="1">IF(COUNTIF(I$13:OFFSET(I153,-1,0),$G153)&gt;=1,$G153," - ")</f>
        <v xml:space="preserve"> - </v>
      </c>
    </row>
    <row r="154" spans="2:10" x14ac:dyDescent="0.25">
      <c r="B154" s="35"/>
      <c r="C154" s="41"/>
      <c r="D154" s="35"/>
      <c r="E154" s="35"/>
      <c r="F154" s="35"/>
      <c r="G154" s="37" t="str">
        <f t="shared" si="7"/>
        <v xml:space="preserve"> - </v>
      </c>
      <c r="H154" s="61" t="str">
        <f ca="1">IF(COUNTIF(G$13:OFFSET(G154,-1,0),$G154)&gt;=1,$G154," - ")</f>
        <v xml:space="preserve"> - </v>
      </c>
      <c r="I154" s="61" t="str">
        <f ca="1">IF(COUNTIF(H$13:OFFSET(H154,-1,0),$G154)&gt;=1,$G154," - ")</f>
        <v xml:space="preserve"> - </v>
      </c>
      <c r="J154" s="61" t="str">
        <f ca="1">IF(COUNTIF(I$13:OFFSET(I154,-1,0),$G154)&gt;=1,$G154," - ")</f>
        <v xml:space="preserve"> - </v>
      </c>
    </row>
    <row r="155" spans="2:10" x14ac:dyDescent="0.25">
      <c r="B155" s="35"/>
      <c r="C155" s="41"/>
      <c r="D155" s="35"/>
      <c r="E155" s="35"/>
      <c r="F155" s="35"/>
      <c r="G155" s="37" t="str">
        <f t="shared" si="7"/>
        <v xml:space="preserve"> - </v>
      </c>
      <c r="H155" s="61" t="str">
        <f ca="1">IF(COUNTIF(G$13:OFFSET(G155,-1,0),$G155)&gt;=1,$G155," - ")</f>
        <v xml:space="preserve"> - </v>
      </c>
      <c r="I155" s="61" t="str">
        <f ca="1">IF(COUNTIF(H$13:OFFSET(H155,-1,0),$G155)&gt;=1,$G155," - ")</f>
        <v xml:space="preserve"> - </v>
      </c>
      <c r="J155" s="61" t="str">
        <f ca="1">IF(COUNTIF(I$13:OFFSET(I155,-1,0),$G155)&gt;=1,$G155," - ")</f>
        <v xml:space="preserve"> - </v>
      </c>
    </row>
    <row r="156" spans="2:10" x14ac:dyDescent="0.25">
      <c r="B156" s="35"/>
      <c r="C156" s="41"/>
      <c r="D156" s="35"/>
      <c r="E156" s="35"/>
      <c r="F156" s="35"/>
      <c r="G156" s="37" t="str">
        <f t="shared" si="7"/>
        <v xml:space="preserve"> - </v>
      </c>
      <c r="H156" s="61" t="str">
        <f ca="1">IF(COUNTIF(G$13:OFFSET(G156,-1,0),$G156)&gt;=1,$G156," - ")</f>
        <v xml:space="preserve"> - </v>
      </c>
      <c r="I156" s="61" t="str">
        <f ca="1">IF(COUNTIF(H$13:OFFSET(H156,-1,0),$G156)&gt;=1,$G156," - ")</f>
        <v xml:space="preserve"> - </v>
      </c>
      <c r="J156" s="61" t="str">
        <f ca="1">IF(COUNTIF(I$13:OFFSET(I156,-1,0),$G156)&gt;=1,$G156," - ")</f>
        <v xml:space="preserve"> - </v>
      </c>
    </row>
    <row r="157" spans="2:10" x14ac:dyDescent="0.25">
      <c r="B157" s="35"/>
      <c r="C157" s="41"/>
      <c r="D157" s="35"/>
      <c r="E157" s="35"/>
      <c r="F157" s="35"/>
      <c r="G157" s="37" t="str">
        <f t="shared" si="7"/>
        <v xml:space="preserve"> - </v>
      </c>
      <c r="H157" s="61" t="str">
        <f ca="1">IF(COUNTIF(G$13:OFFSET(G157,-1,0),$G157)&gt;=1,$G157," - ")</f>
        <v xml:space="preserve"> - </v>
      </c>
      <c r="I157" s="61" t="str">
        <f ca="1">IF(COUNTIF(H$13:OFFSET(H157,-1,0),$G157)&gt;=1,$G157," - ")</f>
        <v xml:space="preserve"> - </v>
      </c>
      <c r="J157" s="61" t="str">
        <f ca="1">IF(COUNTIF(I$13:OFFSET(I157,-1,0),$G157)&gt;=1,$G157," - ")</f>
        <v xml:space="preserve"> - </v>
      </c>
    </row>
    <row r="158" spans="2:10" x14ac:dyDescent="0.25">
      <c r="B158" s="35"/>
      <c r="C158" s="41"/>
      <c r="D158" s="35"/>
      <c r="E158" s="35"/>
      <c r="F158" s="35"/>
      <c r="G158" s="37" t="str">
        <f t="shared" si="7"/>
        <v xml:space="preserve"> - </v>
      </c>
      <c r="H158" s="61" t="str">
        <f ca="1">IF(COUNTIF(G$13:OFFSET(G158,-1,0),$G158)&gt;=1,$G158," - ")</f>
        <v xml:space="preserve"> - </v>
      </c>
      <c r="I158" s="61" t="str">
        <f ca="1">IF(COUNTIF(H$13:OFFSET(H158,-1,0),$G158)&gt;=1,$G158," - ")</f>
        <v xml:space="preserve"> - </v>
      </c>
      <c r="J158" s="61" t="str">
        <f ca="1">IF(COUNTIF(I$13:OFFSET(I158,-1,0),$G158)&gt;=1,$G158," - ")</f>
        <v xml:space="preserve"> - </v>
      </c>
    </row>
    <row r="159" spans="2:10" x14ac:dyDescent="0.25">
      <c r="B159" s="35"/>
      <c r="C159" s="41"/>
      <c r="D159" s="35"/>
      <c r="E159" s="35"/>
      <c r="F159" s="35"/>
      <c r="G159" s="37" t="str">
        <f t="shared" si="7"/>
        <v xml:space="preserve"> - </v>
      </c>
      <c r="H159" s="61" t="str">
        <f ca="1">IF(COUNTIF(G$13:OFFSET(G159,-1,0),$G159)&gt;=1,$G159," - ")</f>
        <v xml:space="preserve"> - </v>
      </c>
      <c r="I159" s="61" t="str">
        <f ca="1">IF(COUNTIF(H$13:OFFSET(H159,-1,0),$G159)&gt;=1,$G159," - ")</f>
        <v xml:space="preserve"> - </v>
      </c>
      <c r="J159" s="61" t="str">
        <f ca="1">IF(COUNTIF(I$13:OFFSET(I159,-1,0),$G159)&gt;=1,$G159," - ")</f>
        <v xml:space="preserve"> - </v>
      </c>
    </row>
    <row r="160" spans="2:10" x14ac:dyDescent="0.25">
      <c r="B160" s="35"/>
      <c r="C160" s="41"/>
      <c r="D160" s="35"/>
      <c r="E160" s="35"/>
      <c r="F160" s="35"/>
      <c r="G160" s="37" t="str">
        <f t="shared" si="7"/>
        <v xml:space="preserve"> - </v>
      </c>
      <c r="H160" s="61" t="str">
        <f ca="1">IF(COUNTIF(G$13:OFFSET(G160,-1,0),$G160)&gt;=1,$G160," - ")</f>
        <v xml:space="preserve"> - </v>
      </c>
      <c r="I160" s="61" t="str">
        <f ca="1">IF(COUNTIF(H$13:OFFSET(H160,-1,0),$G160)&gt;=1,$G160," - ")</f>
        <v xml:space="preserve"> - </v>
      </c>
      <c r="J160" s="61" t="str">
        <f ca="1">IF(COUNTIF(I$13:OFFSET(I160,-1,0),$G160)&gt;=1,$G160," - ")</f>
        <v xml:space="preserve"> - </v>
      </c>
    </row>
    <row r="161" spans="2:10" x14ac:dyDescent="0.25">
      <c r="B161" s="35"/>
      <c r="C161" s="41"/>
      <c r="D161" s="35"/>
      <c r="E161" s="35"/>
      <c r="F161" s="35"/>
      <c r="G161" s="37" t="str">
        <f t="shared" si="7"/>
        <v xml:space="preserve"> - </v>
      </c>
      <c r="H161" s="61" t="str">
        <f ca="1">IF(COUNTIF(G$13:OFFSET(G161,-1,0),$G161)&gt;=1,$G161," - ")</f>
        <v xml:space="preserve"> - </v>
      </c>
      <c r="I161" s="61" t="str">
        <f ca="1">IF(COUNTIF(H$13:OFFSET(H161,-1,0),$G161)&gt;=1,$G161," - ")</f>
        <v xml:space="preserve"> - </v>
      </c>
      <c r="J161" s="61" t="str">
        <f ca="1">IF(COUNTIF(I$13:OFFSET(I161,-1,0),$G161)&gt;=1,$G161," - ")</f>
        <v xml:space="preserve"> - </v>
      </c>
    </row>
    <row r="162" spans="2:10" x14ac:dyDescent="0.25">
      <c r="B162" s="35"/>
      <c r="C162" s="41"/>
      <c r="D162" s="35"/>
      <c r="E162" s="35"/>
      <c r="F162" s="35"/>
      <c r="G162" s="37" t="str">
        <f t="shared" si="7"/>
        <v xml:space="preserve"> - </v>
      </c>
      <c r="H162" s="61" t="str">
        <f ca="1">IF(COUNTIF(G$13:OFFSET(G162,-1,0),$G162)&gt;=1,$G162," - ")</f>
        <v xml:space="preserve"> - </v>
      </c>
      <c r="I162" s="61" t="str">
        <f ca="1">IF(COUNTIF(H$13:OFFSET(H162,-1,0),$G162)&gt;=1,$G162," - ")</f>
        <v xml:space="preserve"> - </v>
      </c>
      <c r="J162" s="61" t="str">
        <f ca="1">IF(COUNTIF(I$13:OFFSET(I162,-1,0),$G162)&gt;=1,$G162," - ")</f>
        <v xml:space="preserve"> - </v>
      </c>
    </row>
    <row r="163" spans="2:10" x14ac:dyDescent="0.25">
      <c r="B163" s="35"/>
      <c r="C163" s="41"/>
      <c r="D163" s="35"/>
      <c r="E163" s="35"/>
      <c r="F163" s="35"/>
      <c r="G163" s="37" t="str">
        <f t="shared" si="7"/>
        <v xml:space="preserve"> - </v>
      </c>
      <c r="H163" s="61" t="str">
        <f ca="1">IF(COUNTIF(G$13:OFFSET(G163,-1,0),$G163)&gt;=1,$G163," - ")</f>
        <v xml:space="preserve"> - </v>
      </c>
      <c r="I163" s="61" t="str">
        <f ca="1">IF(COUNTIF(H$13:OFFSET(H163,-1,0),$G163)&gt;=1,$G163," - ")</f>
        <v xml:space="preserve"> - </v>
      </c>
      <c r="J163" s="61" t="str">
        <f ca="1">IF(COUNTIF(I$13:OFFSET(I163,-1,0),$G163)&gt;=1,$G163," - ")</f>
        <v xml:space="preserve"> - </v>
      </c>
    </row>
    <row r="164" spans="2:10" x14ac:dyDescent="0.25">
      <c r="B164" s="35"/>
      <c r="C164" s="41"/>
      <c r="D164" s="35"/>
      <c r="E164" s="35"/>
      <c r="F164" s="35"/>
      <c r="G164" s="37" t="str">
        <f t="shared" si="7"/>
        <v xml:space="preserve"> - </v>
      </c>
      <c r="H164" s="61" t="str">
        <f ca="1">IF(COUNTIF(G$13:OFFSET(G164,-1,0),$G164)&gt;=1,$G164," - ")</f>
        <v xml:space="preserve"> - </v>
      </c>
      <c r="I164" s="61" t="str">
        <f ca="1">IF(COUNTIF(H$13:OFFSET(H164,-1,0),$G164)&gt;=1,$G164," - ")</f>
        <v xml:space="preserve"> - </v>
      </c>
      <c r="J164" s="61" t="str">
        <f ca="1">IF(COUNTIF(I$13:OFFSET(I164,-1,0),$G164)&gt;=1,$G164," - ")</f>
        <v xml:space="preserve"> - </v>
      </c>
    </row>
    <row r="165" spans="2:10" x14ac:dyDescent="0.25">
      <c r="B165" s="35"/>
      <c r="C165" s="41"/>
      <c r="D165" s="35"/>
      <c r="E165" s="35"/>
      <c r="F165" s="35"/>
      <c r="G165" s="37" t="str">
        <f t="shared" si="7"/>
        <v xml:space="preserve"> - </v>
      </c>
      <c r="H165" s="61" t="str">
        <f ca="1">IF(COUNTIF(G$13:OFFSET(G165,-1,0),$G165)&gt;=1,$G165," - ")</f>
        <v xml:space="preserve"> - </v>
      </c>
      <c r="I165" s="61" t="str">
        <f ca="1">IF(COUNTIF(H$13:OFFSET(H165,-1,0),$G165)&gt;=1,$G165," - ")</f>
        <v xml:space="preserve"> - </v>
      </c>
      <c r="J165" s="61" t="str">
        <f ca="1">IF(COUNTIF(I$13:OFFSET(I165,-1,0),$G165)&gt;=1,$G165," - ")</f>
        <v xml:space="preserve"> - </v>
      </c>
    </row>
    <row r="166" spans="2:10" x14ac:dyDescent="0.25">
      <c r="B166" s="35"/>
      <c r="C166" s="41"/>
      <c r="D166" s="35"/>
      <c r="E166" s="35"/>
      <c r="F166" s="35"/>
      <c r="G166" s="37" t="str">
        <f t="shared" si="7"/>
        <v xml:space="preserve"> - </v>
      </c>
      <c r="H166" s="61" t="str">
        <f ca="1">IF(COUNTIF(G$13:OFFSET(G166,-1,0),$G166)&gt;=1,$G166," - ")</f>
        <v xml:space="preserve"> - </v>
      </c>
      <c r="I166" s="61" t="str">
        <f ca="1">IF(COUNTIF(H$13:OFFSET(H166,-1,0),$G166)&gt;=1,$G166," - ")</f>
        <v xml:space="preserve"> - </v>
      </c>
      <c r="J166" s="61" t="str">
        <f ca="1">IF(COUNTIF(I$13:OFFSET(I166,-1,0),$G166)&gt;=1,$G166," - ")</f>
        <v xml:space="preserve"> - </v>
      </c>
    </row>
    <row r="167" spans="2:10" x14ac:dyDescent="0.25">
      <c r="B167" s="35"/>
      <c r="C167" s="41"/>
      <c r="D167" s="35"/>
      <c r="E167" s="35"/>
      <c r="F167" s="35"/>
      <c r="G167" s="37" t="str">
        <f t="shared" si="7"/>
        <v xml:space="preserve"> - </v>
      </c>
      <c r="H167" s="61" t="str">
        <f ca="1">IF(COUNTIF(G$13:OFFSET(G167,-1,0),$G167)&gt;=1,$G167," - ")</f>
        <v xml:space="preserve"> - </v>
      </c>
      <c r="I167" s="61" t="str">
        <f ca="1">IF(COUNTIF(H$13:OFFSET(H167,-1,0),$G167)&gt;=1,$G167," - ")</f>
        <v xml:space="preserve"> - </v>
      </c>
      <c r="J167" s="61" t="str">
        <f ca="1">IF(COUNTIF(I$13:OFFSET(I167,-1,0),$G167)&gt;=1,$G167," - ")</f>
        <v xml:space="preserve"> - </v>
      </c>
    </row>
    <row r="168" spans="2:10" x14ac:dyDescent="0.25">
      <c r="B168" s="35"/>
      <c r="C168" s="41"/>
      <c r="D168" s="35"/>
      <c r="E168" s="35"/>
      <c r="F168" s="35"/>
      <c r="G168" s="37" t="str">
        <f t="shared" si="7"/>
        <v xml:space="preserve"> - </v>
      </c>
      <c r="H168" s="61" t="str">
        <f ca="1">IF(COUNTIF(G$13:OFFSET(G168,-1,0),$G168)&gt;=1,$G168," - ")</f>
        <v xml:space="preserve"> - </v>
      </c>
      <c r="I168" s="61" t="str">
        <f ca="1">IF(COUNTIF(H$13:OFFSET(H168,-1,0),$G168)&gt;=1,$G168," - ")</f>
        <v xml:space="preserve"> - </v>
      </c>
      <c r="J168" s="61" t="str">
        <f ca="1">IF(COUNTIF(I$13:OFFSET(I168,-1,0),$G168)&gt;=1,$G168," - ")</f>
        <v xml:space="preserve"> - </v>
      </c>
    </row>
    <row r="169" spans="2:10" x14ac:dyDescent="0.25">
      <c r="B169" s="35"/>
      <c r="C169" s="41"/>
      <c r="D169" s="35"/>
      <c r="E169" s="35"/>
      <c r="F169" s="35"/>
      <c r="G169" s="37" t="str">
        <f t="shared" si="7"/>
        <v xml:space="preserve"> - </v>
      </c>
      <c r="H169" s="61" t="str">
        <f ca="1">IF(COUNTIF(G$13:OFFSET(G169,-1,0),$G169)&gt;=1,$G169," - ")</f>
        <v xml:space="preserve"> - </v>
      </c>
      <c r="I169" s="61" t="str">
        <f ca="1">IF(COUNTIF(H$13:OFFSET(H169,-1,0),$G169)&gt;=1,$G169," - ")</f>
        <v xml:space="preserve"> - </v>
      </c>
      <c r="J169" s="61" t="str">
        <f ca="1">IF(COUNTIF(I$13:OFFSET(I169,-1,0),$G169)&gt;=1,$G169," - ")</f>
        <v xml:space="preserve"> - </v>
      </c>
    </row>
    <row r="170" spans="2:10" x14ac:dyDescent="0.25">
      <c r="B170" s="35"/>
      <c r="C170" s="41"/>
      <c r="D170" s="35"/>
      <c r="E170" s="35"/>
      <c r="F170" s="35"/>
      <c r="G170" s="37" t="str">
        <f t="shared" si="7"/>
        <v xml:space="preserve"> - </v>
      </c>
      <c r="H170" s="61" t="str">
        <f ca="1">IF(COUNTIF(G$13:OFFSET(G170,-1,0),$G170)&gt;=1,$G170," - ")</f>
        <v xml:space="preserve"> - </v>
      </c>
      <c r="I170" s="61" t="str">
        <f ca="1">IF(COUNTIF(H$13:OFFSET(H170,-1,0),$G170)&gt;=1,$G170," - ")</f>
        <v xml:space="preserve"> - </v>
      </c>
      <c r="J170" s="61" t="str">
        <f ca="1">IF(COUNTIF(I$13:OFFSET(I170,-1,0),$G170)&gt;=1,$G170," - ")</f>
        <v xml:space="preserve"> - </v>
      </c>
    </row>
    <row r="171" spans="2:10" x14ac:dyDescent="0.25">
      <c r="B171" s="35"/>
      <c r="C171" s="41"/>
      <c r="D171" s="35"/>
      <c r="E171" s="35"/>
      <c r="F171" s="35"/>
      <c r="G171" s="37" t="str">
        <f t="shared" si="7"/>
        <v xml:space="preserve"> - </v>
      </c>
      <c r="H171" s="61" t="str">
        <f ca="1">IF(COUNTIF(G$13:OFFSET(G171,-1,0),$G171)&gt;=1,$G171," - ")</f>
        <v xml:space="preserve"> - </v>
      </c>
      <c r="I171" s="61" t="str">
        <f ca="1">IF(COUNTIF(H$13:OFFSET(H171,-1,0),$G171)&gt;=1,$G171," - ")</f>
        <v xml:space="preserve"> - </v>
      </c>
      <c r="J171" s="61" t="str">
        <f ca="1">IF(COUNTIF(I$13:OFFSET(I171,-1,0),$G171)&gt;=1,$G171," - ")</f>
        <v xml:space="preserve"> - </v>
      </c>
    </row>
    <row r="172" spans="2:10" x14ac:dyDescent="0.25">
      <c r="B172" s="35"/>
      <c r="C172" s="41"/>
      <c r="D172" s="35"/>
      <c r="E172" s="35"/>
      <c r="F172" s="35"/>
      <c r="G172" s="37" t="str">
        <f t="shared" si="7"/>
        <v xml:space="preserve"> - </v>
      </c>
      <c r="H172" s="61" t="str">
        <f ca="1">IF(COUNTIF(G$13:OFFSET(G172,-1,0),$G172)&gt;=1,$G172," - ")</f>
        <v xml:space="preserve"> - </v>
      </c>
      <c r="I172" s="61" t="str">
        <f ca="1">IF(COUNTIF(H$13:OFFSET(H172,-1,0),$G172)&gt;=1,$G172," - ")</f>
        <v xml:space="preserve"> - </v>
      </c>
      <c r="J172" s="61" t="str">
        <f ca="1">IF(COUNTIF(I$13:OFFSET(I172,-1,0),$G172)&gt;=1,$G172," - ")</f>
        <v xml:space="preserve"> - </v>
      </c>
    </row>
    <row r="173" spans="2:10" x14ac:dyDescent="0.25">
      <c r="B173" s="35"/>
      <c r="C173" s="41"/>
      <c r="D173" s="35"/>
      <c r="E173" s="35"/>
      <c r="F173" s="35"/>
      <c r="G173" s="37" t="str">
        <f t="shared" si="7"/>
        <v xml:space="preserve"> - </v>
      </c>
      <c r="H173" s="61" t="str">
        <f ca="1">IF(COUNTIF(G$13:OFFSET(G173,-1,0),$G173)&gt;=1,$G173," - ")</f>
        <v xml:space="preserve"> - </v>
      </c>
      <c r="I173" s="61" t="str">
        <f ca="1">IF(COUNTIF(H$13:OFFSET(H173,-1,0),$G173)&gt;=1,$G173," - ")</f>
        <v xml:space="preserve"> - </v>
      </c>
      <c r="J173" s="61" t="str">
        <f ca="1">IF(COUNTIF(I$13:OFFSET(I173,-1,0),$G173)&gt;=1,$G173," - ")</f>
        <v xml:space="preserve"> - </v>
      </c>
    </row>
    <row r="174" spans="2:10" x14ac:dyDescent="0.25">
      <c r="B174" s="35"/>
      <c r="C174" s="41"/>
      <c r="D174" s="35"/>
      <c r="E174" s="35"/>
      <c r="F174" s="35"/>
      <c r="G174" s="37" t="str">
        <f t="shared" si="7"/>
        <v xml:space="preserve"> - </v>
      </c>
      <c r="H174" s="61" t="str">
        <f ca="1">IF(COUNTIF(G$13:OFFSET(G174,-1,0),$G174)&gt;=1,$G174," - ")</f>
        <v xml:space="preserve"> - </v>
      </c>
      <c r="I174" s="61" t="str">
        <f ca="1">IF(COUNTIF(H$13:OFFSET(H174,-1,0),$G174)&gt;=1,$G174," - ")</f>
        <v xml:space="preserve"> - </v>
      </c>
      <c r="J174" s="61" t="str">
        <f ca="1">IF(COUNTIF(I$13:OFFSET(I174,-1,0),$G174)&gt;=1,$G174," - ")</f>
        <v xml:space="preserve"> - </v>
      </c>
    </row>
    <row r="175" spans="2:10" x14ac:dyDescent="0.25">
      <c r="B175" s="35"/>
      <c r="C175" s="41"/>
      <c r="D175" s="35"/>
      <c r="E175" s="35"/>
      <c r="F175" s="35"/>
      <c r="G175" s="37" t="str">
        <f t="shared" si="7"/>
        <v xml:space="preserve"> - </v>
      </c>
      <c r="H175" s="61" t="str">
        <f ca="1">IF(COUNTIF(G$13:OFFSET(G175,-1,0),$G175)&gt;=1,$G175," - ")</f>
        <v xml:space="preserve"> - </v>
      </c>
      <c r="I175" s="61" t="str">
        <f ca="1">IF(COUNTIF(H$13:OFFSET(H175,-1,0),$G175)&gt;=1,$G175," - ")</f>
        <v xml:space="preserve"> - </v>
      </c>
      <c r="J175" s="61" t="str">
        <f ca="1">IF(COUNTIF(I$13:OFFSET(I175,-1,0),$G175)&gt;=1,$G175," - ")</f>
        <v xml:space="preserve"> - </v>
      </c>
    </row>
    <row r="176" spans="2:10" x14ac:dyDescent="0.25">
      <c r="B176" s="35"/>
      <c r="C176" s="41"/>
      <c r="D176" s="35"/>
      <c r="E176" s="35"/>
      <c r="F176" s="35"/>
      <c r="G176" s="37" t="str">
        <f t="shared" si="7"/>
        <v xml:space="preserve"> - </v>
      </c>
      <c r="H176" s="61" t="str">
        <f ca="1">IF(COUNTIF(G$13:OFFSET(G176,-1,0),$G176)&gt;=1,$G176," - ")</f>
        <v xml:space="preserve"> - </v>
      </c>
      <c r="I176" s="61" t="str">
        <f ca="1">IF(COUNTIF(H$13:OFFSET(H176,-1,0),$G176)&gt;=1,$G176," - ")</f>
        <v xml:space="preserve"> - </v>
      </c>
      <c r="J176" s="61" t="str">
        <f ca="1">IF(COUNTIF(I$13:OFFSET(I176,-1,0),$G176)&gt;=1,$G176," - ")</f>
        <v xml:space="preserve"> - </v>
      </c>
    </row>
    <row r="177" spans="1:10" x14ac:dyDescent="0.25">
      <c r="B177" s="35"/>
      <c r="C177" s="41"/>
      <c r="D177" s="35"/>
      <c r="E177" s="35"/>
      <c r="F177" s="35"/>
      <c r="G177" s="37" t="str">
        <f t="shared" si="7"/>
        <v xml:space="preserve"> - </v>
      </c>
      <c r="H177" s="61" t="str">
        <f ca="1">IF(COUNTIF(G$13:OFFSET(G177,-1,0),$G177)&gt;=1,$G177," - ")</f>
        <v xml:space="preserve"> - </v>
      </c>
      <c r="I177" s="61" t="str">
        <f ca="1">IF(COUNTIF(H$13:OFFSET(H177,-1,0),$G177)&gt;=1,$G177," - ")</f>
        <v xml:space="preserve"> - </v>
      </c>
      <c r="J177" s="61" t="str">
        <f ca="1">IF(COUNTIF(I$13:OFFSET(I177,-1,0),$G177)&gt;=1,$G177," - ")</f>
        <v xml:space="preserve"> - </v>
      </c>
    </row>
    <row r="178" spans="1:10" x14ac:dyDescent="0.25">
      <c r="B178" s="35"/>
      <c r="C178" s="41"/>
      <c r="D178" s="35"/>
      <c r="E178" s="35"/>
      <c r="F178" s="35"/>
      <c r="G178" s="37" t="str">
        <f t="shared" si="7"/>
        <v xml:space="preserve"> - </v>
      </c>
      <c r="H178" s="61" t="str">
        <f ca="1">IF(COUNTIF(G$13:OFFSET(G178,-1,0),$G178)&gt;=1,$G178," - ")</f>
        <v xml:space="preserve"> - </v>
      </c>
      <c r="I178" s="61" t="str">
        <f ca="1">IF(COUNTIF(H$13:OFFSET(H178,-1,0),$G178)&gt;=1,$G178," - ")</f>
        <v xml:space="preserve"> - </v>
      </c>
      <c r="J178" s="61" t="str">
        <f ca="1">IF(COUNTIF(I$13:OFFSET(I178,-1,0),$G178)&gt;=1,$G178," - ")</f>
        <v xml:space="preserve"> - </v>
      </c>
    </row>
    <row r="179" spans="1:10" x14ac:dyDescent="0.25">
      <c r="B179" s="35"/>
      <c r="C179" s="41"/>
      <c r="D179" s="35"/>
      <c r="E179" s="35"/>
      <c r="F179" s="35"/>
      <c r="G179" s="37" t="str">
        <f t="shared" si="7"/>
        <v xml:space="preserve"> - </v>
      </c>
      <c r="H179" s="61" t="str">
        <f ca="1">IF(COUNTIF(G$13:OFFSET(G179,-1,0),$G179)&gt;=1,$G179," - ")</f>
        <v xml:space="preserve"> - </v>
      </c>
      <c r="I179" s="61" t="str">
        <f ca="1">IF(COUNTIF(H$13:OFFSET(H179,-1,0),$G179)&gt;=1,$G179," - ")</f>
        <v xml:space="preserve"> - </v>
      </c>
      <c r="J179" s="61" t="str">
        <f ca="1">IF(COUNTIF(I$13:OFFSET(I179,-1,0),$G179)&gt;=1,$G179," - ")</f>
        <v xml:space="preserve"> - </v>
      </c>
    </row>
    <row r="180" spans="1:10" x14ac:dyDescent="0.25">
      <c r="B180" s="35"/>
      <c r="C180" s="41"/>
      <c r="D180" s="35"/>
      <c r="E180" s="35"/>
      <c r="F180" s="35"/>
      <c r="G180" s="37" t="str">
        <f t="shared" ref="G180:G192" si="9">IF(OR(B180="",OR(C180="",D180=""))," - ",DATE(B180,C180,D180))</f>
        <v xml:space="preserve"> - </v>
      </c>
      <c r="H180" s="61" t="str">
        <f ca="1">IF(COUNTIF(G$13:OFFSET(G180,-1,0),$G180)&gt;=1,$G180," - ")</f>
        <v xml:space="preserve"> - </v>
      </c>
      <c r="I180" s="61" t="str">
        <f ca="1">IF(COUNTIF(H$13:OFFSET(H180,-1,0),$G180)&gt;=1,$G180," - ")</f>
        <v xml:space="preserve"> - </v>
      </c>
      <c r="J180" s="61" t="str">
        <f ca="1">IF(COUNTIF(I$13:OFFSET(I180,-1,0),$G180)&gt;=1,$G180," - ")</f>
        <v xml:space="preserve"> - </v>
      </c>
    </row>
    <row r="181" spans="1:10" x14ac:dyDescent="0.25">
      <c r="B181" s="35"/>
      <c r="C181" s="41"/>
      <c r="D181" s="35"/>
      <c r="E181" s="35"/>
      <c r="F181" s="35"/>
      <c r="G181" s="37" t="str">
        <f t="shared" si="9"/>
        <v xml:space="preserve"> - </v>
      </c>
      <c r="H181" s="61" t="str">
        <f ca="1">IF(COUNTIF(G$13:OFFSET(G181,-1,0),$G181)&gt;=1,$G181," - ")</f>
        <v xml:space="preserve"> - </v>
      </c>
      <c r="I181" s="61" t="str">
        <f ca="1">IF(COUNTIF(H$13:OFFSET(H181,-1,0),$G181)&gt;=1,$G181," - ")</f>
        <v xml:space="preserve"> - </v>
      </c>
      <c r="J181" s="61" t="str">
        <f ca="1">IF(COUNTIF(I$13:OFFSET(I181,-1,0),$G181)&gt;=1,$G181," - ")</f>
        <v xml:space="preserve"> - </v>
      </c>
    </row>
    <row r="182" spans="1:10" x14ac:dyDescent="0.25">
      <c r="B182" s="35"/>
      <c r="C182" s="41"/>
      <c r="D182" s="35"/>
      <c r="E182" s="35"/>
      <c r="F182" s="35"/>
      <c r="G182" s="37" t="str">
        <f t="shared" si="9"/>
        <v xml:space="preserve"> - </v>
      </c>
      <c r="H182" s="61" t="str">
        <f ca="1">IF(COUNTIF(G$13:OFFSET(G182,-1,0),$G182)&gt;=1,$G182," - ")</f>
        <v xml:space="preserve"> - </v>
      </c>
      <c r="I182" s="61" t="str">
        <f ca="1">IF(COUNTIF(H$13:OFFSET(H182,-1,0),$G182)&gt;=1,$G182," - ")</f>
        <v xml:space="preserve"> - </v>
      </c>
      <c r="J182" s="61" t="str">
        <f ca="1">IF(COUNTIF(I$13:OFFSET(I182,-1,0),$G182)&gt;=1,$G182," - ")</f>
        <v xml:space="preserve"> - </v>
      </c>
    </row>
    <row r="183" spans="1:10" x14ac:dyDescent="0.25">
      <c r="B183" s="35"/>
      <c r="C183" s="41"/>
      <c r="D183" s="35"/>
      <c r="E183" s="35"/>
      <c r="F183" s="35"/>
      <c r="G183" s="37" t="str">
        <f t="shared" si="9"/>
        <v xml:space="preserve"> - </v>
      </c>
      <c r="H183" s="61" t="str">
        <f ca="1">IF(COUNTIF(G$13:OFFSET(G183,-1,0),$G183)&gt;=1,$G183," - ")</f>
        <v xml:space="preserve"> - </v>
      </c>
      <c r="I183" s="61" t="str">
        <f ca="1">IF(COUNTIF(H$13:OFFSET(H183,-1,0),$G183)&gt;=1,$G183," - ")</f>
        <v xml:space="preserve"> - </v>
      </c>
      <c r="J183" s="61" t="str">
        <f ca="1">IF(COUNTIF(I$13:OFFSET(I183,-1,0),$G183)&gt;=1,$G183," - ")</f>
        <v xml:space="preserve"> - </v>
      </c>
    </row>
    <row r="184" spans="1:10" x14ac:dyDescent="0.25">
      <c r="B184" s="35"/>
      <c r="C184" s="41"/>
      <c r="D184" s="35"/>
      <c r="E184" s="35"/>
      <c r="F184" s="35"/>
      <c r="G184" s="37" t="str">
        <f t="shared" si="9"/>
        <v xml:space="preserve"> - </v>
      </c>
      <c r="H184" s="61" t="str">
        <f ca="1">IF(COUNTIF(G$13:OFFSET(G184,-1,0),$G184)&gt;=1,$G184," - ")</f>
        <v xml:space="preserve"> - </v>
      </c>
      <c r="I184" s="61" t="str">
        <f ca="1">IF(COUNTIF(H$13:OFFSET(H184,-1,0),$G184)&gt;=1,$G184," - ")</f>
        <v xml:space="preserve"> - </v>
      </c>
      <c r="J184" s="61" t="str">
        <f ca="1">IF(COUNTIF(I$13:OFFSET(I184,-1,0),$G184)&gt;=1,$G184," - ")</f>
        <v xml:space="preserve"> - </v>
      </c>
    </row>
    <row r="185" spans="1:10" x14ac:dyDescent="0.25">
      <c r="B185" s="35"/>
      <c r="C185" s="41"/>
      <c r="D185" s="35"/>
      <c r="E185" s="35"/>
      <c r="F185" s="35"/>
      <c r="G185" s="37" t="str">
        <f t="shared" si="9"/>
        <v xml:space="preserve"> - </v>
      </c>
      <c r="H185" s="61" t="str">
        <f ca="1">IF(COUNTIF(G$13:OFFSET(G185,-1,0),$G185)&gt;=1,$G185," - ")</f>
        <v xml:space="preserve"> - </v>
      </c>
      <c r="I185" s="61" t="str">
        <f ca="1">IF(COUNTIF(H$13:OFFSET(H185,-1,0),$G185)&gt;=1,$G185," - ")</f>
        <v xml:space="preserve"> - </v>
      </c>
      <c r="J185" s="61" t="str">
        <f ca="1">IF(COUNTIF(I$13:OFFSET(I185,-1,0),$G185)&gt;=1,$G185," - ")</f>
        <v xml:space="preserve"> - </v>
      </c>
    </row>
    <row r="186" spans="1:10" x14ac:dyDescent="0.25">
      <c r="B186" s="35"/>
      <c r="C186" s="41"/>
      <c r="D186" s="35"/>
      <c r="E186" s="35"/>
      <c r="F186" s="35"/>
      <c r="G186" s="37" t="str">
        <f t="shared" si="9"/>
        <v xml:space="preserve"> - </v>
      </c>
      <c r="H186" s="61" t="str">
        <f ca="1">IF(COUNTIF(G$13:OFFSET(G186,-1,0),$G186)&gt;=1,$G186," - ")</f>
        <v xml:space="preserve"> - </v>
      </c>
      <c r="I186" s="61" t="str">
        <f ca="1">IF(COUNTIF(H$13:OFFSET(H186,-1,0),$G186)&gt;=1,$G186," - ")</f>
        <v xml:space="preserve"> - </v>
      </c>
      <c r="J186" s="61" t="str">
        <f ca="1">IF(COUNTIF(I$13:OFFSET(I186,-1,0),$G186)&gt;=1,$G186," - ")</f>
        <v xml:space="preserve"> - </v>
      </c>
    </row>
    <row r="187" spans="1:10" x14ac:dyDescent="0.25">
      <c r="B187" s="35"/>
      <c r="C187" s="41"/>
      <c r="D187" s="35"/>
      <c r="E187" s="35"/>
      <c r="F187" s="35"/>
      <c r="G187" s="37" t="str">
        <f t="shared" si="9"/>
        <v xml:space="preserve"> - </v>
      </c>
      <c r="H187" s="61" t="str">
        <f ca="1">IF(COUNTIF(G$13:OFFSET(G187,-1,0),$G187)&gt;=1,$G187," - ")</f>
        <v xml:space="preserve"> - </v>
      </c>
      <c r="I187" s="61" t="str">
        <f ca="1">IF(COUNTIF(H$13:OFFSET(H187,-1,0),$G187)&gt;=1,$G187," - ")</f>
        <v xml:space="preserve"> - </v>
      </c>
      <c r="J187" s="61" t="str">
        <f ca="1">IF(COUNTIF(I$13:OFFSET(I187,-1,0),$G187)&gt;=1,$G187," - ")</f>
        <v xml:space="preserve"> - </v>
      </c>
    </row>
    <row r="188" spans="1:10" x14ac:dyDescent="0.25">
      <c r="B188" s="35"/>
      <c r="C188" s="41"/>
      <c r="D188" s="35"/>
      <c r="E188" s="35"/>
      <c r="F188" s="35"/>
      <c r="G188" s="37" t="str">
        <f t="shared" si="9"/>
        <v xml:space="preserve"> - </v>
      </c>
      <c r="H188" s="61" t="str">
        <f ca="1">IF(COUNTIF(G$13:OFFSET(G188,-1,0),$G188)&gt;=1,$G188," - ")</f>
        <v xml:space="preserve"> - </v>
      </c>
      <c r="I188" s="61" t="str">
        <f ca="1">IF(COUNTIF(H$13:OFFSET(H188,-1,0),$G188)&gt;=1,$G188," - ")</f>
        <v xml:space="preserve"> - </v>
      </c>
      <c r="J188" s="61" t="str">
        <f ca="1">IF(COUNTIF(I$13:OFFSET(I188,-1,0),$G188)&gt;=1,$G188," - ")</f>
        <v xml:space="preserve"> - </v>
      </c>
    </row>
    <row r="189" spans="1:10" x14ac:dyDescent="0.25">
      <c r="B189" s="35"/>
      <c r="C189" s="41"/>
      <c r="D189" s="35"/>
      <c r="E189" s="35"/>
      <c r="F189" s="35"/>
      <c r="G189" s="37" t="str">
        <f t="shared" si="9"/>
        <v xml:space="preserve"> - </v>
      </c>
      <c r="H189" s="61" t="str">
        <f ca="1">IF(COUNTIF(G$13:OFFSET(G189,-1,0),$G189)&gt;=1,$G189," - ")</f>
        <v xml:space="preserve"> - </v>
      </c>
      <c r="I189" s="61" t="str">
        <f ca="1">IF(COUNTIF(H$13:OFFSET(H189,-1,0),$G189)&gt;=1,$G189," - ")</f>
        <v xml:space="preserve"> - </v>
      </c>
      <c r="J189" s="61" t="str">
        <f ca="1">IF(COUNTIF(I$13:OFFSET(I189,-1,0),$G189)&gt;=1,$G189," - ")</f>
        <v xml:space="preserve"> - </v>
      </c>
    </row>
    <row r="190" spans="1:10" x14ac:dyDescent="0.25">
      <c r="B190" s="35"/>
      <c r="C190" s="41"/>
      <c r="D190" s="35"/>
      <c r="E190" s="35"/>
      <c r="F190" s="35"/>
      <c r="G190" s="37" t="str">
        <f t="shared" si="9"/>
        <v xml:space="preserve"> - </v>
      </c>
      <c r="H190" s="61" t="str">
        <f ca="1">IF(COUNTIF(G$13:OFFSET(G190,-1,0),$G190)&gt;=1,$G190," - ")</f>
        <v xml:space="preserve"> - </v>
      </c>
      <c r="I190" s="61" t="str">
        <f ca="1">IF(COUNTIF(H$13:OFFSET(H190,-1,0),$G190)&gt;=1,$G190," - ")</f>
        <v xml:space="preserve"> - </v>
      </c>
      <c r="J190" s="61" t="str">
        <f ca="1">IF(COUNTIF(I$13:OFFSET(I190,-1,0),$G190)&gt;=1,$G190," - ")</f>
        <v xml:space="preserve"> - </v>
      </c>
    </row>
    <row r="191" spans="1:10" x14ac:dyDescent="0.25">
      <c r="A191" s="9"/>
      <c r="B191" s="35"/>
      <c r="C191" s="35"/>
      <c r="D191" s="35"/>
      <c r="E191" s="35"/>
      <c r="F191" s="35"/>
      <c r="G191" s="37" t="str">
        <f t="shared" si="9"/>
        <v xml:space="preserve"> - </v>
      </c>
      <c r="H191" s="61" t="str">
        <f ca="1">IF(COUNTIF(G$13:OFFSET(G191,-1,0),$G191)&gt;=1,$G191," - ")</f>
        <v xml:space="preserve"> - </v>
      </c>
      <c r="I191" s="61" t="str">
        <f ca="1">IF(COUNTIF(H$13:OFFSET(H191,-1,0),$G191)&gt;=1,$G191," - ")</f>
        <v xml:space="preserve"> - </v>
      </c>
      <c r="J191" s="61" t="str">
        <f ca="1">IF(COUNTIF(I$13:OFFSET(I191,-1,0),$G191)&gt;=1,$G191," - ")</f>
        <v xml:space="preserve"> - </v>
      </c>
    </row>
    <row r="192" spans="1:10" x14ac:dyDescent="0.25">
      <c r="A192" s="9"/>
      <c r="B192" s="35"/>
      <c r="C192" s="35"/>
      <c r="D192" s="35"/>
      <c r="E192" s="35"/>
      <c r="F192" s="35"/>
      <c r="G192" s="37" t="str">
        <f t="shared" si="9"/>
        <v xml:space="preserve"> - </v>
      </c>
      <c r="H192" s="61" t="str">
        <f ca="1">IF(COUNTIF(G$13:OFFSET(G192,-1,0),$G192)&gt;=1,$G192," - ")</f>
        <v xml:space="preserve"> - </v>
      </c>
      <c r="I192" s="61" t="str">
        <f ca="1">IF(COUNTIF(H$13:OFFSET(H192,-1,0),$G192)&gt;=1,$G192," - ")</f>
        <v xml:space="preserve"> - </v>
      </c>
      <c r="J192" s="61" t="str">
        <f ca="1">IF(COUNTIF(I$13:OFFSET(I192,-1,0),$G192)&gt;=1,$G192," - ")</f>
        <v xml:space="preserve"> - </v>
      </c>
    </row>
  </sheetData>
  <printOptions horizontalCentered="1"/>
  <pageMargins left="0.35" right="0.35" top="0.5" bottom="0.5" header="0.25" footer="0.25"/>
  <pageSetup scale="94" fitToHeight="0" orientation="portrait" r:id="rId1"/>
  <headerFooter alignWithMargins="0"/>
  <ignoredErrors>
    <ignoredError sqref="B15:G33 B36:G43 B34:B35 E34:F35 B46:G55 B44:F45 B58:G59 B56:F57 B62:G65 B60:F61 B68:G77 B66:F67 B144:G153 B115:F143 B96:F112" formula="1"/>
  </ignoredError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1"/>
  <sheetViews>
    <sheetView showGridLines="0" workbookViewId="0"/>
  </sheetViews>
  <sheetFormatPr defaultColWidth="8.88671875" defaultRowHeight="13.2" x14ac:dyDescent="0.25"/>
  <cols>
    <col min="1" max="1" width="10.44140625" style="9" customWidth="1"/>
    <col min="2" max="2" width="72.6640625" style="75" customWidth="1"/>
    <col min="3" max="3" width="19.109375" customWidth="1"/>
  </cols>
  <sheetData>
    <row r="1" spans="1:3" ht="32.1" customHeight="1" x14ac:dyDescent="0.25">
      <c r="A1" s="62" t="s">
        <v>78</v>
      </c>
      <c r="B1" s="63"/>
      <c r="C1" s="62"/>
    </row>
    <row r="2" spans="1:3" x14ac:dyDescent="0.25">
      <c r="A2" s="64" t="s">
        <v>93</v>
      </c>
      <c r="B2" s="65"/>
      <c r="C2" s="66" t="s">
        <v>99</v>
      </c>
    </row>
    <row r="3" spans="1:3" ht="15" x14ac:dyDescent="0.25">
      <c r="A3" s="7"/>
      <c r="B3" s="67"/>
      <c r="C3" s="8"/>
    </row>
    <row r="4" spans="1:3" ht="17.399999999999999" x14ac:dyDescent="0.25">
      <c r="A4" s="68" t="s">
        <v>100</v>
      </c>
      <c r="B4" s="69"/>
      <c r="C4" s="70"/>
    </row>
    <row r="5" spans="1:3" ht="27.6" x14ac:dyDescent="0.25">
      <c r="A5" s="7"/>
      <c r="B5" s="71" t="s">
        <v>79</v>
      </c>
      <c r="C5" s="8"/>
    </row>
    <row r="6" spans="1:3" x14ac:dyDescent="0.25">
      <c r="A6" s="7"/>
      <c r="B6" s="72"/>
      <c r="C6" s="8"/>
    </row>
    <row r="7" spans="1:3" ht="17.399999999999999" x14ac:dyDescent="0.25">
      <c r="A7" s="68" t="s">
        <v>101</v>
      </c>
      <c r="B7" s="69"/>
      <c r="C7" s="70"/>
    </row>
    <row r="8" spans="1:3" ht="41.4" x14ac:dyDescent="0.25">
      <c r="A8" s="7"/>
      <c r="B8" s="71" t="s">
        <v>80</v>
      </c>
      <c r="C8" s="8"/>
    </row>
    <row r="9" spans="1:3" x14ac:dyDescent="0.25">
      <c r="A9" s="7"/>
      <c r="B9" s="73"/>
      <c r="C9" s="8"/>
    </row>
    <row r="10" spans="1:3" ht="17.399999999999999" x14ac:dyDescent="0.25">
      <c r="A10" s="68" t="s">
        <v>102</v>
      </c>
      <c r="B10" s="69"/>
      <c r="C10" s="70"/>
    </row>
    <row r="11" spans="1:3" ht="41.4" x14ac:dyDescent="0.25">
      <c r="A11" s="7"/>
      <c r="B11" s="71" t="s">
        <v>81</v>
      </c>
      <c r="C11" s="8"/>
    </row>
    <row r="12" spans="1:3" x14ac:dyDescent="0.25">
      <c r="A12" s="7"/>
      <c r="B12" s="72"/>
      <c r="C12" s="8"/>
    </row>
    <row r="13" spans="1:3" ht="55.2" x14ac:dyDescent="0.25">
      <c r="A13" s="7"/>
      <c r="B13" s="74" t="s">
        <v>82</v>
      </c>
      <c r="C13" s="8"/>
    </row>
    <row r="15" spans="1:3" ht="55.2" x14ac:dyDescent="0.25">
      <c r="B15" s="71" t="s">
        <v>83</v>
      </c>
    </row>
    <row r="17" spans="1:3" ht="17.399999999999999" x14ac:dyDescent="0.25">
      <c r="A17" s="68" t="s">
        <v>103</v>
      </c>
      <c r="B17" s="76"/>
      <c r="C17" s="70"/>
    </row>
    <row r="18" spans="1:3" x14ac:dyDescent="0.25">
      <c r="B18" s="9"/>
      <c r="C18" s="9"/>
    </row>
    <row r="19" spans="1:3" ht="13.8" x14ac:dyDescent="0.25">
      <c r="B19" s="77" t="s">
        <v>104</v>
      </c>
      <c r="C19" s="9"/>
    </row>
    <row r="20" spans="1:3" ht="13.8" x14ac:dyDescent="0.25">
      <c r="B20" s="78"/>
      <c r="C20" s="9"/>
    </row>
    <row r="21" spans="1:3" ht="13.8" x14ac:dyDescent="0.25">
      <c r="B21" s="77" t="s">
        <v>105</v>
      </c>
      <c r="C21" s="9"/>
    </row>
  </sheetData>
  <hyperlinks>
    <hyperlink ref="A2" r:id="rId1" xr:uid="{94890F08-C842-45B5-AA4B-44BE90C6E516}"/>
    <hyperlink ref="B19" r:id="rId2" xr:uid="{53B4A51F-47F1-4454-B848-9DD9D9B09B17}"/>
    <hyperlink ref="B21" r:id="rId3" xr:uid="{F68D2D95-0ED3-45CB-B53B-FD1F4F9D4557}"/>
  </hyperlinks>
  <pageMargins left="0.7" right="0.7" top="0.75" bottom="0.75" header="0.3" footer="0.3"/>
  <pageSetup orientation="portrait" r:id="rId4"/>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26FE5-7EBA-41CB-9CFA-A2F95BF56A61}">
  <dimension ref="A1:C19"/>
  <sheetViews>
    <sheetView showGridLines="0" workbookViewId="0"/>
  </sheetViews>
  <sheetFormatPr defaultColWidth="9.109375" defaultRowHeight="13.2" x14ac:dyDescent="0.25"/>
  <cols>
    <col min="1" max="1" width="2.88671875" style="9" customWidth="1"/>
    <col min="2" max="2" width="71.5546875" style="9" customWidth="1"/>
    <col min="3" max="3" width="22.33203125" customWidth="1"/>
  </cols>
  <sheetData>
    <row r="1" spans="1:3" ht="32.1" customHeight="1" x14ac:dyDescent="0.25">
      <c r="A1" s="79"/>
      <c r="B1" s="62" t="s">
        <v>88</v>
      </c>
      <c r="C1" s="80"/>
    </row>
    <row r="2" spans="1:3" ht="15" x14ac:dyDescent="0.25">
      <c r="A2" s="81"/>
      <c r="B2" s="82"/>
      <c r="C2" s="83"/>
    </row>
    <row r="3" spans="1:3" ht="15" x14ac:dyDescent="0.25">
      <c r="A3" s="81"/>
      <c r="B3" s="84" t="s">
        <v>2</v>
      </c>
      <c r="C3" s="83"/>
    </row>
    <row r="4" spans="1:3" ht="13.8" x14ac:dyDescent="0.25">
      <c r="A4" s="81"/>
      <c r="B4" s="85" t="s">
        <v>93</v>
      </c>
      <c r="C4" s="83"/>
    </row>
    <row r="5" spans="1:3" ht="15" x14ac:dyDescent="0.25">
      <c r="A5" s="81"/>
      <c r="B5" s="86"/>
      <c r="C5" s="83"/>
    </row>
    <row r="6" spans="1:3" ht="15.6" x14ac:dyDescent="0.3">
      <c r="A6" s="81"/>
      <c r="B6" s="87" t="s">
        <v>77</v>
      </c>
      <c r="C6" s="83"/>
    </row>
    <row r="7" spans="1:3" ht="15" x14ac:dyDescent="0.25">
      <c r="A7" s="81"/>
      <c r="B7" s="86"/>
      <c r="C7" s="83"/>
    </row>
    <row r="8" spans="1:3" ht="30" x14ac:dyDescent="0.25">
      <c r="A8" s="81"/>
      <c r="B8" s="86" t="s">
        <v>90</v>
      </c>
      <c r="C8" s="83"/>
    </row>
    <row r="9" spans="1:3" ht="15" x14ac:dyDescent="0.25">
      <c r="A9" s="81"/>
      <c r="B9" s="86"/>
      <c r="C9" s="83"/>
    </row>
    <row r="10" spans="1:3" ht="30" x14ac:dyDescent="0.25">
      <c r="A10" s="81"/>
      <c r="B10" s="86" t="s">
        <v>3</v>
      </c>
      <c r="C10" s="83"/>
    </row>
    <row r="11" spans="1:3" ht="15" x14ac:dyDescent="0.25">
      <c r="A11" s="81"/>
      <c r="B11" s="86"/>
      <c r="C11" s="83"/>
    </row>
    <row r="12" spans="1:3" ht="30" x14ac:dyDescent="0.25">
      <c r="A12" s="81"/>
      <c r="B12" s="86" t="s">
        <v>4</v>
      </c>
      <c r="C12" s="83"/>
    </row>
    <row r="13" spans="1:3" ht="15" x14ac:dyDescent="0.25">
      <c r="A13" s="81"/>
      <c r="B13" s="86"/>
      <c r="C13" s="83"/>
    </row>
    <row r="14" spans="1:3" ht="15.6" x14ac:dyDescent="0.3">
      <c r="A14" s="81"/>
      <c r="B14" s="87" t="s">
        <v>106</v>
      </c>
      <c r="C14" s="83"/>
    </row>
    <row r="15" spans="1:3" ht="15" x14ac:dyDescent="0.25">
      <c r="A15" s="81"/>
      <c r="B15" s="88" t="s">
        <v>94</v>
      </c>
      <c r="C15" s="83"/>
    </row>
    <row r="16" spans="1:3" ht="15" x14ac:dyDescent="0.25">
      <c r="A16" s="81"/>
      <c r="B16" s="89"/>
      <c r="C16" s="83"/>
    </row>
    <row r="17" spans="1:3" ht="15" x14ac:dyDescent="0.25">
      <c r="A17" s="81"/>
      <c r="B17" s="90" t="s">
        <v>107</v>
      </c>
      <c r="C17" s="83"/>
    </row>
    <row r="18" spans="1:3" ht="13.8" x14ac:dyDescent="0.25">
      <c r="A18" s="81"/>
      <c r="B18" s="81"/>
      <c r="C18" s="83"/>
    </row>
    <row r="19" spans="1:3" ht="13.8" x14ac:dyDescent="0.25">
      <c r="A19" s="81"/>
      <c r="B19" s="81"/>
      <c r="C19" s="83"/>
    </row>
  </sheetData>
  <hyperlinks>
    <hyperlink ref="B15" r:id="rId1" xr:uid="{41B7D068-32E9-4219-B941-05F22B3CB66A}"/>
    <hyperlink ref="B4" r:id="rId2" xr:uid="{0EAED2B1-24E9-4263-B5EA-D10272AA349C}"/>
  </hyperlinks>
  <pageMargins left="0.7" right="0.7" top="0.75" bottom="0.75" header="0.3" footer="0.3"/>
  <pageSetup orientation="portrait" r:id="rId3"/>
  <drawing r:id="rId4"/>
  <picture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Q1</vt:lpstr>
      <vt:lpstr>Q3</vt:lpstr>
      <vt:lpstr>Q2</vt:lpstr>
      <vt:lpstr>Q4</vt:lpstr>
      <vt:lpstr>1Q26 </vt:lpstr>
      <vt:lpstr>2Q26</vt:lpstr>
      <vt:lpstr>3Q26</vt:lpstr>
      <vt:lpstr>Events</vt:lpstr>
      <vt:lpstr>Help</vt:lpstr>
      <vt:lpstr>©</vt:lpstr>
      <vt:lpstr>'1Q26 '!Print_Area</vt:lpstr>
      <vt:lpstr>'2Q26'!Print_Area</vt:lpstr>
      <vt:lpstr>'3Q26'!Print_Area</vt:lpstr>
      <vt:lpstr>Events!Print_Area</vt:lpstr>
      <vt:lpstr>'Q1'!Print_Area</vt:lpstr>
      <vt:lpstr>'Q2'!Print_Area</vt:lpstr>
      <vt:lpstr>'Q3'!Print_Area</vt:lpstr>
      <vt:lpstr>'Q4'!Print_Area</vt:lpstr>
      <vt:lpstr>'1Q26 '!startday</vt:lpstr>
      <vt:lpstr>'2Q26'!startday</vt:lpstr>
      <vt:lpstr>startday</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Quarterly Calendar Template</dc:title>
  <dc:creator>Vertex42.com</dc:creator>
  <dc:description>(c) 2015-2020 Vertex42 LLC. All Rights Reserved.</dc:description>
  <cp:lastModifiedBy>Magdalena Sabotova</cp:lastModifiedBy>
  <cp:lastPrinted>2015-10-21T16:24:42Z</cp:lastPrinted>
  <dcterms:created xsi:type="dcterms:W3CDTF">2007-03-07T00:27:45Z</dcterms:created>
  <dcterms:modified xsi:type="dcterms:W3CDTF">2026-06-26T08:37:20Z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2015-2020 Vertex42 LLC</vt:lpwstr>
  </property>
  <property fmtid="{D5CDD505-2E9C-101B-9397-08002B2CF9AE}" pid="3" name="Version">
    <vt:lpwstr>1.0.2</vt:lpwstr>
  </property>
  <property fmtid="{D5CDD505-2E9C-101B-9397-08002B2CF9AE}" pid="4" name="Source">
    <vt:lpwstr>https://www.vertex42.com/calendars/quarterly-calendar.html</vt:lpwstr>
  </property>
</Properties>
</file>